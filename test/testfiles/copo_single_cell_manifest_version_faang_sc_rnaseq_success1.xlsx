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7"/>
  <workbookPr defaultThemeVersion="124226"/>
  <mc:AlternateContent xmlns:mc="http://schemas.openxmlformats.org/markup-compatibility/2006">
    <mc:Choice Requires="x15">
      <x15ac:absPath xmlns:x15ac="http://schemas.microsoft.com/office/spreadsheetml/2010/11/ac" url="/Users/providen/Documents/EI/Projects/COPO-production/test/testfiles/"/>
    </mc:Choice>
  </mc:AlternateContent>
  <xr:revisionPtr revIDLastSave="0" documentId="13_ncr:1_{BC9A92C4-3CF3-AB4A-B99C-CB24D467B468}" xr6:coauthVersionLast="47" xr6:coauthVersionMax="47" xr10:uidLastSave="{00000000-0000-0000-0000-000000000000}"/>
  <bookViews>
    <workbookView xWindow="70060" yWindow="2560" windowWidth="36240" windowHeight="12900" firstSheet="9" activeTab="12" xr2:uid="{00000000-000D-0000-FFFF-FFFF00000000}"/>
  </bookViews>
  <sheets>
    <sheet name="study" sheetId="1" r:id="rId1"/>
    <sheet name="person" sheetId="2" r:id="rId2"/>
    <sheet name="sample" sheetId="3" r:id="rId3"/>
    <sheet name="dissociation" sheetId="4" r:id="rId4"/>
    <sheet name="cell_suspension" sheetId="5" r:id="rId5"/>
    <sheet name="lib_prep" sheetId="6" r:id="rId6"/>
    <sheet name="data_values" sheetId="7" r:id="rId7"/>
    <sheet name="sequencing" sheetId="8" r:id="rId8"/>
    <sheet name="analysis_derived_data" sheetId="9" r:id="rId9"/>
    <sheet name="raw_data_processing" sheetId="10" r:id="rId10"/>
    <sheet name="downstream_processing" sheetId="11" r:id="rId11"/>
    <sheet name="data_availability_checklist" sheetId="12" r:id="rId12"/>
    <sheet name="file" sheetId="13" r:id="rId13"/>
    <sheet name="expression_data_process_setting" sheetId="14" r:id="rId14"/>
    <sheet name="expression_data_file"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5" l="1" a="1"/>
  <c r="B93" i="15" s="1"/>
  <c r="A5" i="15" a="1"/>
  <c r="A94" i="15" s="1"/>
  <c r="B5" i="14" a="1"/>
  <c r="B96" i="14" s="1"/>
  <c r="A5" i="14" a="1"/>
  <c r="A94" i="14" s="1"/>
  <c r="B5" i="13" a="1"/>
  <c r="B52" i="13" s="1"/>
  <c r="A5" i="13" a="1"/>
  <c r="A56" i="13" s="1"/>
  <c r="A5" i="11" a="1"/>
  <c r="A100" i="11" s="1"/>
  <c r="A5" i="10" a="1"/>
  <c r="A98" i="10" s="1"/>
  <c r="A5" i="9" a="1"/>
  <c r="A78" i="9" s="1"/>
  <c r="B5" i="8" a="1"/>
  <c r="B88" i="8" s="1"/>
  <c r="A5" i="8" a="1"/>
  <c r="A58" i="8" s="1"/>
  <c r="B72" i="6"/>
  <c r="B61" i="6"/>
  <c r="B45" i="6"/>
  <c r="B16" i="6"/>
  <c r="B5" i="6" a="1"/>
  <c r="B99" i="6" s="1"/>
  <c r="A63" i="6"/>
  <c r="A5" i="6" a="1"/>
  <c r="A90" i="6" s="1"/>
  <c r="B52" i="5"/>
  <c r="B5" i="5" a="1"/>
  <c r="B94" i="5" s="1"/>
  <c r="A5" i="5" a="1"/>
  <c r="A91" i="5" s="1"/>
  <c r="B78" i="4"/>
  <c r="B5" i="4" a="1"/>
  <c r="B90" i="4" s="1"/>
  <c r="A5" i="4" a="1"/>
  <c r="A71" i="4" s="1"/>
  <c r="A5" i="3" a="1"/>
  <c r="A96" i="3" s="1"/>
  <c r="A91" i="2"/>
  <c r="A90" i="2"/>
  <c r="A89" i="2"/>
  <c r="A88" i="2"/>
  <c r="A62" i="2"/>
  <c r="A61" i="2"/>
  <c r="A59" i="2"/>
  <c r="A57" i="2"/>
  <c r="A30" i="2"/>
  <c r="A29" i="2"/>
  <c r="A28" i="2"/>
  <c r="A18" i="2"/>
  <c r="A5" i="2" a="1"/>
  <c r="A97" i="2" s="1"/>
  <c r="A38" i="15" l="1"/>
  <c r="B36" i="15"/>
  <c r="B69" i="15"/>
  <c r="B71" i="15"/>
  <c r="B15" i="15"/>
  <c r="B80" i="15"/>
  <c r="A6" i="15"/>
  <c r="A79" i="15"/>
  <c r="B30" i="15"/>
  <c r="B62" i="15"/>
  <c r="A11" i="15"/>
  <c r="A100" i="15"/>
  <c r="B35" i="15"/>
  <c r="B68" i="15"/>
  <c r="A12" i="15"/>
  <c r="A13" i="15"/>
  <c r="B8" i="15"/>
  <c r="B37" i="15"/>
  <c r="B70" i="15"/>
  <c r="B13" i="15"/>
  <c r="B46" i="15"/>
  <c r="A44" i="15"/>
  <c r="B47" i="15"/>
  <c r="A45" i="15"/>
  <c r="B16" i="15"/>
  <c r="B49" i="15"/>
  <c r="B81" i="15"/>
  <c r="A46" i="15"/>
  <c r="B17" i="15"/>
  <c r="B50" i="15"/>
  <c r="B83" i="15"/>
  <c r="A71" i="15"/>
  <c r="B18" i="15"/>
  <c r="B51" i="15"/>
  <c r="B84" i="15"/>
  <c r="A72" i="15"/>
  <c r="B27" i="15"/>
  <c r="B52" i="15"/>
  <c r="B85" i="15"/>
  <c r="A78" i="15"/>
  <c r="B28" i="15"/>
  <c r="B61" i="15"/>
  <c r="B90" i="15"/>
  <c r="A10" i="14"/>
  <c r="A54" i="14"/>
  <c r="A88" i="14"/>
  <c r="B15" i="14"/>
  <c r="B34" i="14"/>
  <c r="B53" i="14"/>
  <c r="B68" i="14"/>
  <c r="B87" i="14"/>
  <c r="A11" i="14"/>
  <c r="A55" i="14"/>
  <c r="A99" i="14"/>
  <c r="B20" i="14"/>
  <c r="B35" i="14"/>
  <c r="B54" i="14"/>
  <c r="B69" i="14"/>
  <c r="B88" i="14"/>
  <c r="A12" i="14"/>
  <c r="A56" i="14"/>
  <c r="A100" i="14"/>
  <c r="B21" i="14"/>
  <c r="B36" i="14"/>
  <c r="B55" i="14"/>
  <c r="B70" i="14"/>
  <c r="B89" i="14"/>
  <c r="A23" i="14"/>
  <c r="A57" i="14"/>
  <c r="B5" i="14"/>
  <c r="B22" i="14"/>
  <c r="B37" i="14"/>
  <c r="B56" i="14"/>
  <c r="B75" i="14"/>
  <c r="B90" i="14"/>
  <c r="A24" i="14"/>
  <c r="A68" i="14"/>
  <c r="B23" i="14"/>
  <c r="B57" i="14"/>
  <c r="B91" i="14"/>
  <c r="A25" i="14"/>
  <c r="B9" i="14"/>
  <c r="B43" i="14"/>
  <c r="B77" i="14"/>
  <c r="B98" i="14"/>
  <c r="B42" i="14"/>
  <c r="B76" i="14"/>
  <c r="A69" i="14"/>
  <c r="B24" i="14"/>
  <c r="B58" i="14"/>
  <c r="B92" i="14"/>
  <c r="A29" i="14"/>
  <c r="A73" i="14"/>
  <c r="B10" i="14"/>
  <c r="B25" i="14"/>
  <c r="B44" i="14"/>
  <c r="B59" i="14"/>
  <c r="B78" i="14"/>
  <c r="B97" i="14"/>
  <c r="A40" i="14"/>
  <c r="A74" i="14"/>
  <c r="B11" i="14"/>
  <c r="B26" i="14"/>
  <c r="B45" i="14"/>
  <c r="B64" i="14"/>
  <c r="B79" i="14"/>
  <c r="A41" i="14"/>
  <c r="A85" i="14"/>
  <c r="B12" i="14"/>
  <c r="B31" i="14"/>
  <c r="B46" i="14"/>
  <c r="B65" i="14"/>
  <c r="B80" i="14"/>
  <c r="B99" i="14"/>
  <c r="B100" i="14"/>
  <c r="A42" i="14"/>
  <c r="A86" i="14"/>
  <c r="B13" i="14"/>
  <c r="B32" i="14"/>
  <c r="B47" i="14"/>
  <c r="B66" i="14"/>
  <c r="B81" i="14"/>
  <c r="A9" i="14"/>
  <c r="A43" i="14"/>
  <c r="A87" i="14"/>
  <c r="B14" i="14"/>
  <c r="B33" i="14"/>
  <c r="B48" i="14"/>
  <c r="B67" i="14"/>
  <c r="B86" i="14"/>
  <c r="A42" i="13"/>
  <c r="B63" i="13"/>
  <c r="B65" i="13"/>
  <c r="B80" i="13"/>
  <c r="B88" i="13"/>
  <c r="B82" i="13"/>
  <c r="B85" i="13"/>
  <c r="B53" i="13"/>
  <c r="B62" i="13"/>
  <c r="B28" i="13"/>
  <c r="B31" i="13"/>
  <c r="B39" i="13"/>
  <c r="B89" i="13"/>
  <c r="B8" i="13"/>
  <c r="B9" i="13"/>
  <c r="B11" i="13"/>
  <c r="B27" i="13"/>
  <c r="B40" i="13"/>
  <c r="A69" i="11"/>
  <c r="A52" i="10"/>
  <c r="A85" i="10"/>
  <c r="A26" i="10"/>
  <c r="A58" i="10"/>
  <c r="A13" i="10"/>
  <c r="A44" i="10"/>
  <c r="A76" i="10"/>
  <c r="A14" i="10"/>
  <c r="A45" i="10"/>
  <c r="A79" i="10"/>
  <c r="A15" i="10"/>
  <c r="A81" i="10"/>
  <c r="A23" i="10"/>
  <c r="A88" i="10"/>
  <c r="A89" i="10"/>
  <c r="A28" i="10"/>
  <c r="A90" i="10"/>
  <c r="A30" i="10"/>
  <c r="A67" i="10"/>
  <c r="A96" i="10"/>
  <c r="A37" i="10"/>
  <c r="A70" i="10"/>
  <c r="A71" i="10"/>
  <c r="A56" i="10"/>
  <c r="A57" i="10"/>
  <c r="A27" i="10"/>
  <c r="A60" i="10"/>
  <c r="A8" i="10"/>
  <c r="A41" i="10"/>
  <c r="A12" i="10"/>
  <c r="A43" i="10"/>
  <c r="A74" i="10"/>
  <c r="A32" i="9"/>
  <c r="A65" i="9"/>
  <c r="A5" i="9"/>
  <c r="A96" i="9"/>
  <c r="B85" i="8"/>
  <c r="B77" i="8"/>
  <c r="A69" i="8"/>
  <c r="B21" i="8"/>
  <c r="B40" i="8"/>
  <c r="B67" i="8"/>
  <c r="B97" i="8"/>
  <c r="A75" i="8"/>
  <c r="B22" i="8"/>
  <c r="B48" i="8"/>
  <c r="B70" i="8"/>
  <c r="B98" i="8"/>
  <c r="A13" i="8"/>
  <c r="B24" i="8"/>
  <c r="B99" i="8"/>
  <c r="A14" i="8"/>
  <c r="B51" i="8"/>
  <c r="A15" i="8"/>
  <c r="B79" i="8"/>
  <c r="A16" i="8"/>
  <c r="B27" i="8"/>
  <c r="B35" i="8"/>
  <c r="B64" i="8"/>
  <c r="B91" i="8"/>
  <c r="B52" i="8"/>
  <c r="B8" i="8"/>
  <c r="B80" i="8"/>
  <c r="A27" i="8"/>
  <c r="B9" i="8"/>
  <c r="B54" i="8"/>
  <c r="B84" i="8"/>
  <c r="A31" i="8"/>
  <c r="B10" i="8"/>
  <c r="B36" i="8"/>
  <c r="B63" i="8"/>
  <c r="A56" i="8"/>
  <c r="B11" i="8"/>
  <c r="B37" i="8"/>
  <c r="A57" i="8"/>
  <c r="B13" i="8"/>
  <c r="B38" i="8"/>
  <c r="B65" i="8"/>
  <c r="B92" i="8"/>
  <c r="A78" i="8"/>
  <c r="B50" i="8"/>
  <c r="A97" i="8"/>
  <c r="B25" i="8"/>
  <c r="B78" i="8"/>
  <c r="B26" i="8"/>
  <c r="B53" i="8"/>
  <c r="B14" i="8"/>
  <c r="B39" i="8"/>
  <c r="B66" i="8"/>
  <c r="B95" i="8"/>
  <c r="B46" i="6"/>
  <c r="B47" i="6"/>
  <c r="A89" i="6"/>
  <c r="B100" i="6"/>
  <c r="A64" i="6"/>
  <c r="B17" i="6"/>
  <c r="B73" i="6"/>
  <c r="A65" i="6"/>
  <c r="B20" i="6"/>
  <c r="B75" i="6"/>
  <c r="A73" i="6"/>
  <c r="B21" i="6"/>
  <c r="B48" i="6"/>
  <c r="B84" i="6"/>
  <c r="B86" i="6"/>
  <c r="A99" i="6"/>
  <c r="B59" i="6"/>
  <c r="A22" i="6"/>
  <c r="B60" i="6"/>
  <c r="B34" i="6"/>
  <c r="B97" i="6"/>
  <c r="A36" i="6"/>
  <c r="B9" i="6"/>
  <c r="B42" i="6"/>
  <c r="B70" i="6"/>
  <c r="B98" i="6"/>
  <c r="B22" i="6"/>
  <c r="B56" i="6"/>
  <c r="A12" i="6"/>
  <c r="B28" i="6"/>
  <c r="B87" i="6"/>
  <c r="A100" i="6"/>
  <c r="B29" i="6"/>
  <c r="B88" i="6"/>
  <c r="A23" i="6"/>
  <c r="B5" i="6"/>
  <c r="B95" i="6"/>
  <c r="A24" i="6"/>
  <c r="B35" i="6"/>
  <c r="B69" i="6"/>
  <c r="A48" i="6"/>
  <c r="B15" i="6"/>
  <c r="B44" i="6"/>
  <c r="B71" i="6"/>
  <c r="B64" i="5"/>
  <c r="B78" i="5"/>
  <c r="B14" i="5"/>
  <c r="B80" i="5"/>
  <c r="A42" i="5"/>
  <c r="B82" i="5"/>
  <c r="B35" i="5"/>
  <c r="B66" i="5"/>
  <c r="B83" i="5"/>
  <c r="B21" i="5"/>
  <c r="B68" i="5"/>
  <c r="B69" i="5"/>
  <c r="B8" i="5"/>
  <c r="B71" i="5"/>
  <c r="B24" i="5"/>
  <c r="B40" i="5"/>
  <c r="B74" i="5"/>
  <c r="B89" i="5"/>
  <c r="B10" i="5"/>
  <c r="B25" i="5"/>
  <c r="B41" i="5"/>
  <c r="B57" i="5"/>
  <c r="B75" i="5"/>
  <c r="B90" i="5"/>
  <c r="B53" i="5"/>
  <c r="B23" i="5"/>
  <c r="B54" i="5"/>
  <c r="B88" i="5"/>
  <c r="B56" i="5"/>
  <c r="B27" i="5"/>
  <c r="B61" i="5"/>
  <c r="B76" i="5"/>
  <c r="B93" i="5"/>
  <c r="B13" i="5"/>
  <c r="B29" i="5"/>
  <c r="B47" i="5"/>
  <c r="B63" i="5"/>
  <c r="B95" i="5"/>
  <c r="A41" i="5"/>
  <c r="B30" i="5"/>
  <c r="B49" i="5"/>
  <c r="B96" i="5"/>
  <c r="B16" i="5"/>
  <c r="B34" i="5"/>
  <c r="B50" i="5"/>
  <c r="B65" i="5"/>
  <c r="B97" i="5"/>
  <c r="A93" i="5"/>
  <c r="B17" i="5"/>
  <c r="B51" i="5"/>
  <c r="B100" i="5"/>
  <c r="A94" i="5"/>
  <c r="B36" i="5"/>
  <c r="B84" i="5"/>
  <c r="B22" i="5"/>
  <c r="B38" i="5"/>
  <c r="B87" i="5"/>
  <c r="B39" i="5"/>
  <c r="B9" i="5"/>
  <c r="B11" i="5"/>
  <c r="B42" i="5"/>
  <c r="B12" i="5"/>
  <c r="B28" i="5"/>
  <c r="B44" i="5"/>
  <c r="B62" i="5"/>
  <c r="B77" i="5"/>
  <c r="B60" i="4"/>
  <c r="B13" i="4"/>
  <c r="B61" i="4"/>
  <c r="B17" i="4"/>
  <c r="B72" i="4"/>
  <c r="B74" i="4"/>
  <c r="A26" i="4"/>
  <c r="B32" i="4"/>
  <c r="A56" i="4"/>
  <c r="B43" i="4"/>
  <c r="A57" i="4"/>
  <c r="B46" i="4"/>
  <c r="A85" i="4"/>
  <c r="B47" i="4"/>
  <c r="B29" i="4"/>
  <c r="A24" i="4"/>
  <c r="B31" i="4"/>
  <c r="B86" i="4"/>
  <c r="B91" i="4"/>
  <c r="A87" i="4"/>
  <c r="B58" i="4"/>
  <c r="B18" i="4"/>
  <c r="B92" i="4"/>
  <c r="A59" i="3"/>
  <c r="A16" i="3"/>
  <c r="A75" i="2"/>
  <c r="A14" i="2"/>
  <c r="A45" i="2"/>
  <c r="A76" i="2"/>
  <c r="A31" i="2"/>
  <c r="A5" i="2"/>
  <c r="A73" i="2"/>
  <c r="A42" i="2"/>
  <c r="A74" i="2"/>
  <c r="A13" i="2"/>
  <c r="A15" i="2"/>
  <c r="A47" i="2"/>
  <c r="A77" i="2"/>
  <c r="A63" i="2"/>
  <c r="A33" i="2"/>
  <c r="A43" i="2"/>
  <c r="A17" i="2"/>
  <c r="A48" i="2"/>
  <c r="A87" i="2"/>
  <c r="A23" i="4"/>
  <c r="A55" i="4"/>
  <c r="A84" i="4"/>
  <c r="A37" i="5"/>
  <c r="A93" i="8"/>
  <c r="A70" i="8"/>
  <c r="A51" i="8"/>
  <c r="A28" i="8"/>
  <c r="A9" i="8"/>
  <c r="A89" i="8"/>
  <c r="A68" i="8"/>
  <c r="A45" i="8"/>
  <c r="A26" i="8"/>
  <c r="A5" i="8"/>
  <c r="A84" i="8"/>
  <c r="A66" i="8"/>
  <c r="A44" i="8"/>
  <c r="A25" i="8"/>
  <c r="A83" i="8"/>
  <c r="A64" i="8"/>
  <c r="A41" i="8"/>
  <c r="A23" i="8"/>
  <c r="A82" i="8"/>
  <c r="A62" i="8"/>
  <c r="A40" i="8"/>
  <c r="A17" i="8"/>
  <c r="A94" i="8"/>
  <c r="A71" i="8"/>
  <c r="A52" i="8"/>
  <c r="A29" i="8"/>
  <c r="A12" i="8"/>
  <c r="A53" i="8"/>
  <c r="A96" i="8"/>
  <c r="A31" i="9"/>
  <c r="A58" i="9"/>
  <c r="A91" i="9"/>
  <c r="A50" i="11"/>
  <c r="A30" i="13"/>
  <c r="A83" i="13"/>
  <c r="A54" i="11"/>
  <c r="A31" i="13"/>
  <c r="A68" i="9"/>
  <c r="A11" i="9"/>
  <c r="A42" i="9"/>
  <c r="A69" i="9"/>
  <c r="A98" i="9"/>
  <c r="A78" i="11"/>
  <c r="A52" i="13"/>
  <c r="A90" i="4"/>
  <c r="A14" i="9"/>
  <c r="A43" i="9"/>
  <c r="A70" i="9"/>
  <c r="A99" i="9"/>
  <c r="A98" i="11"/>
  <c r="A54" i="13"/>
  <c r="A85" i="5"/>
  <c r="A81" i="5"/>
  <c r="A56" i="5"/>
  <c r="A29" i="5"/>
  <c r="A6" i="5"/>
  <c r="A77" i="5"/>
  <c r="A47" i="5"/>
  <c r="A23" i="5"/>
  <c r="A98" i="5"/>
  <c r="A73" i="5"/>
  <c r="A45" i="5"/>
  <c r="A22" i="5"/>
  <c r="A97" i="5"/>
  <c r="A96" i="5"/>
  <c r="A71" i="5"/>
  <c r="A43" i="5"/>
  <c r="A12" i="5"/>
  <c r="A82" i="5"/>
  <c r="A58" i="5"/>
  <c r="A30" i="5"/>
  <c r="A7" i="5"/>
  <c r="A44" i="5"/>
  <c r="A95" i="5"/>
  <c r="A15" i="9"/>
  <c r="A44" i="9"/>
  <c r="A72" i="9"/>
  <c r="A5" i="11"/>
  <c r="A6" i="2"/>
  <c r="A21" i="2"/>
  <c r="A36" i="2"/>
  <c r="A51" i="2"/>
  <c r="A65" i="2"/>
  <c r="A79" i="2"/>
  <c r="A17" i="9"/>
  <c r="A45" i="9"/>
  <c r="A85" i="11"/>
  <c r="A94" i="11"/>
  <c r="A46" i="11"/>
  <c r="A74" i="11"/>
  <c r="A28" i="11"/>
  <c r="A27" i="11"/>
  <c r="A73" i="11"/>
  <c r="A72" i="11"/>
  <c r="A24" i="11"/>
  <c r="A71" i="11"/>
  <c r="A21" i="11"/>
  <c r="A95" i="11"/>
  <c r="A47" i="11"/>
  <c r="A87" i="13"/>
  <c r="A97" i="13"/>
  <c r="A72" i="13"/>
  <c r="A43" i="13"/>
  <c r="A18" i="13"/>
  <c r="A96" i="13"/>
  <c r="A95" i="13"/>
  <c r="A65" i="13"/>
  <c r="A41" i="13"/>
  <c r="A16" i="13"/>
  <c r="A93" i="13"/>
  <c r="A64" i="13"/>
  <c r="A39" i="13"/>
  <c r="A15" i="13"/>
  <c r="A85" i="13"/>
  <c r="A61" i="13"/>
  <c r="A38" i="13"/>
  <c r="A12" i="13"/>
  <c r="A84" i="13"/>
  <c r="A59" i="13"/>
  <c r="A34" i="13"/>
  <c r="A10" i="13"/>
  <c r="A98" i="13"/>
  <c r="A74" i="13"/>
  <c r="A51" i="13"/>
  <c r="A20" i="13"/>
  <c r="A58" i="13"/>
  <c r="A95" i="9"/>
  <c r="A92" i="9"/>
  <c r="A79" i="9"/>
  <c r="A66" i="9"/>
  <c r="A53" i="9"/>
  <c r="A39" i="9"/>
  <c r="A25" i="9"/>
  <c r="A12" i="9"/>
  <c r="A90" i="9"/>
  <c r="A77" i="9"/>
  <c r="A64" i="9"/>
  <c r="A50" i="9"/>
  <c r="A36" i="9"/>
  <c r="A23" i="9"/>
  <c r="A10" i="9"/>
  <c r="A89" i="9"/>
  <c r="A76" i="9"/>
  <c r="A63" i="9"/>
  <c r="A48" i="9"/>
  <c r="A35" i="9"/>
  <c r="A22" i="9"/>
  <c r="A9" i="9"/>
  <c r="A88" i="9"/>
  <c r="A75" i="9"/>
  <c r="A61" i="9"/>
  <c r="A47" i="9"/>
  <c r="A34" i="9"/>
  <c r="A21" i="9"/>
  <c r="A8" i="9"/>
  <c r="A100" i="9"/>
  <c r="A87" i="9"/>
  <c r="A74" i="9"/>
  <c r="A59" i="9"/>
  <c r="A46" i="9"/>
  <c r="A33" i="9"/>
  <c r="A20" i="9"/>
  <c r="A6" i="9"/>
  <c r="A94" i="9"/>
  <c r="A80" i="9"/>
  <c r="A67" i="9"/>
  <c r="A54" i="9"/>
  <c r="A41" i="9"/>
  <c r="A26" i="9"/>
  <c r="A13" i="9"/>
  <c r="A37" i="9"/>
  <c r="A97" i="9"/>
  <c r="A96" i="2"/>
  <c r="A8" i="4"/>
  <c r="A38" i="4"/>
  <c r="A70" i="4"/>
  <c r="A10" i="5"/>
  <c r="A60" i="5"/>
  <c r="A7" i="2"/>
  <c r="A23" i="2"/>
  <c r="A37" i="2"/>
  <c r="A52" i="2"/>
  <c r="A66" i="2"/>
  <c r="A81" i="2"/>
  <c r="A11" i="4"/>
  <c r="A41" i="4"/>
  <c r="A11" i="5"/>
  <c r="A61" i="5"/>
  <c r="A36" i="8"/>
  <c r="A80" i="8"/>
  <c r="A19" i="9"/>
  <c r="A52" i="9"/>
  <c r="A81" i="9"/>
  <c r="A15" i="11"/>
  <c r="A7" i="13"/>
  <c r="A71" i="13"/>
  <c r="A19" i="11"/>
  <c r="A17" i="13"/>
  <c r="A78" i="13"/>
  <c r="A98" i="4"/>
  <c r="A82" i="4"/>
  <c r="A67" i="4"/>
  <c r="A49" i="4"/>
  <c r="A33" i="4"/>
  <c r="A17" i="4"/>
  <c r="A95" i="4"/>
  <c r="A80" i="4"/>
  <c r="A61" i="4"/>
  <c r="A46" i="4"/>
  <c r="A30" i="4"/>
  <c r="A13" i="4"/>
  <c r="A94" i="4"/>
  <c r="A78" i="4"/>
  <c r="A60" i="4"/>
  <c r="A45" i="4"/>
  <c r="A29" i="4"/>
  <c r="A12" i="4"/>
  <c r="A91" i="4"/>
  <c r="A73" i="4"/>
  <c r="A58" i="4"/>
  <c r="A43" i="4"/>
  <c r="A25" i="4"/>
  <c r="A10" i="4"/>
  <c r="A99" i="4"/>
  <c r="A83" i="4"/>
  <c r="A68" i="4"/>
  <c r="A50" i="4"/>
  <c r="A35" i="4"/>
  <c r="A18" i="4"/>
  <c r="A32" i="4"/>
  <c r="A59" i="4"/>
  <c r="A93" i="2"/>
  <c r="A95" i="2"/>
  <c r="A83" i="2"/>
  <c r="A70" i="2"/>
  <c r="A58" i="2"/>
  <c r="A46" i="2"/>
  <c r="A34" i="2"/>
  <c r="A22" i="2"/>
  <c r="A10" i="2"/>
  <c r="A92" i="2"/>
  <c r="A80" i="2"/>
  <c r="A68" i="2"/>
  <c r="A56" i="2"/>
  <c r="A44" i="2"/>
  <c r="A32" i="2"/>
  <c r="A20" i="2"/>
  <c r="A8" i="2"/>
  <c r="A19" i="2"/>
  <c r="A35" i="2"/>
  <c r="A50" i="2"/>
  <c r="A64" i="2"/>
  <c r="A78" i="2"/>
  <c r="A94" i="2"/>
  <c r="A7" i="4"/>
  <c r="A37" i="4"/>
  <c r="A69" i="4"/>
  <c r="A96" i="4"/>
  <c r="A9" i="5"/>
  <c r="A59" i="5"/>
  <c r="A9" i="2"/>
  <c r="A24" i="2"/>
  <c r="A39" i="2"/>
  <c r="A53" i="2"/>
  <c r="A67" i="2"/>
  <c r="A84" i="2"/>
  <c r="A98" i="2"/>
  <c r="A14" i="4"/>
  <c r="A44" i="4"/>
  <c r="A72" i="4"/>
  <c r="A21" i="5"/>
  <c r="A65" i="5"/>
  <c r="A38" i="8"/>
  <c r="A81" i="8"/>
  <c r="A24" i="9"/>
  <c r="A55" i="9"/>
  <c r="A83" i="9"/>
  <c r="A11" i="2"/>
  <c r="A25" i="2"/>
  <c r="A40" i="2"/>
  <c r="A54" i="2"/>
  <c r="A69" i="2"/>
  <c r="A85" i="2"/>
  <c r="A99" i="2"/>
  <c r="A21" i="4"/>
  <c r="A47" i="4"/>
  <c r="A74" i="4"/>
  <c r="A25" i="5"/>
  <c r="A72" i="5"/>
  <c r="A39" i="8"/>
  <c r="A92" i="8"/>
  <c r="A28" i="9"/>
  <c r="A56" i="9"/>
  <c r="A85" i="9"/>
  <c r="A45" i="11"/>
  <c r="A25" i="13"/>
  <c r="A80" i="13"/>
  <c r="A6" i="4"/>
  <c r="A36" i="4"/>
  <c r="A66" i="4"/>
  <c r="A92" i="4"/>
  <c r="A8" i="5"/>
  <c r="A55" i="5"/>
  <c r="A12" i="2"/>
  <c r="A26" i="2"/>
  <c r="A41" i="2"/>
  <c r="A55" i="2"/>
  <c r="A72" i="2"/>
  <c r="A86" i="2"/>
  <c r="A100" i="2"/>
  <c r="A22" i="4"/>
  <c r="A54" i="4"/>
  <c r="A81" i="4"/>
  <c r="A31" i="5"/>
  <c r="A78" i="5"/>
  <c r="A49" i="8"/>
  <c r="A95" i="8"/>
  <c r="A30" i="9"/>
  <c r="A57" i="9"/>
  <c r="A86" i="9"/>
  <c r="A48" i="11"/>
  <c r="A29" i="13"/>
  <c r="A82" i="13"/>
  <c r="A90" i="3"/>
  <c r="A21" i="6"/>
  <c r="A62" i="6"/>
  <c r="A92" i="6"/>
  <c r="A11" i="10"/>
  <c r="A25" i="10"/>
  <c r="A39" i="10"/>
  <c r="A55" i="10"/>
  <c r="A69" i="10"/>
  <c r="A83" i="10"/>
  <c r="A99" i="10"/>
  <c r="A8" i="14"/>
  <c r="A22" i="14"/>
  <c r="A36" i="14"/>
  <c r="A53" i="14"/>
  <c r="A67" i="14"/>
  <c r="A84" i="14"/>
  <c r="A98" i="14"/>
  <c r="A37" i="15"/>
  <c r="A66" i="15"/>
  <c r="A99" i="15"/>
  <c r="A37" i="6"/>
  <c r="A74" i="6"/>
  <c r="A16" i="10"/>
  <c r="A32" i="10"/>
  <c r="A47" i="10"/>
  <c r="A61" i="10"/>
  <c r="A77" i="10"/>
  <c r="A91" i="10"/>
  <c r="A13" i="14"/>
  <c r="A30" i="14"/>
  <c r="A44" i="14"/>
  <c r="A58" i="14"/>
  <c r="A75" i="14"/>
  <c r="A89" i="14"/>
  <c r="A22" i="15"/>
  <c r="A47" i="15"/>
  <c r="A80" i="15"/>
  <c r="A38" i="6"/>
  <c r="A75" i="6"/>
  <c r="A5" i="10"/>
  <c r="A17" i="10"/>
  <c r="A34" i="10"/>
  <c r="A48" i="10"/>
  <c r="A63" i="10"/>
  <c r="A78" i="10"/>
  <c r="A92" i="10"/>
  <c r="A14" i="14"/>
  <c r="A31" i="14"/>
  <c r="A45" i="14"/>
  <c r="A62" i="14"/>
  <c r="A76" i="14"/>
  <c r="A90" i="14"/>
  <c r="A23" i="15"/>
  <c r="A56" i="15"/>
  <c r="A81" i="15"/>
  <c r="A18" i="14"/>
  <c r="A32" i="14"/>
  <c r="A46" i="14"/>
  <c r="A63" i="14"/>
  <c r="A77" i="14"/>
  <c r="A91" i="14"/>
  <c r="A25" i="15"/>
  <c r="A57" i="15"/>
  <c r="A90" i="15"/>
  <c r="A31" i="3"/>
  <c r="A46" i="6"/>
  <c r="A87" i="6"/>
  <c r="A21" i="10"/>
  <c r="A35" i="10"/>
  <c r="A49" i="10"/>
  <c r="A65" i="10"/>
  <c r="A93" i="10"/>
  <c r="A45" i="3"/>
  <c r="A11" i="6"/>
  <c r="A47" i="6"/>
  <c r="A88" i="6"/>
  <c r="A6" i="10"/>
  <c r="A22" i="10"/>
  <c r="A36" i="10"/>
  <c r="A50" i="10"/>
  <c r="A66" i="10"/>
  <c r="A80" i="10"/>
  <c r="A94" i="10"/>
  <c r="A19" i="14"/>
  <c r="A33" i="14"/>
  <c r="A47" i="14"/>
  <c r="A64" i="14"/>
  <c r="A78" i="14"/>
  <c r="A95" i="14"/>
  <c r="A26" i="15"/>
  <c r="A59" i="15"/>
  <c r="A91" i="15"/>
  <c r="A20" i="14"/>
  <c r="A34" i="14"/>
  <c r="A51" i="14"/>
  <c r="A65" i="14"/>
  <c r="A79" i="14"/>
  <c r="A96" i="14"/>
  <c r="A27" i="15"/>
  <c r="A60" i="15"/>
  <c r="A93" i="15"/>
  <c r="A74" i="3"/>
  <c r="A20" i="6"/>
  <c r="A49" i="6"/>
  <c r="A10" i="10"/>
  <c r="A24" i="10"/>
  <c r="A38" i="10"/>
  <c r="A54" i="10"/>
  <c r="A68" i="10"/>
  <c r="A82" i="10"/>
  <c r="A7" i="14"/>
  <c r="A21" i="14"/>
  <c r="A35" i="14"/>
  <c r="A52" i="14"/>
  <c r="A66" i="14"/>
  <c r="A80" i="14"/>
  <c r="A97" i="14"/>
  <c r="A5" i="15"/>
  <c r="A28" i="15"/>
  <c r="A61" i="15"/>
  <c r="A5" i="3"/>
  <c r="A19" i="3"/>
  <c r="A32" i="3"/>
  <c r="A46" i="3"/>
  <c r="A60" i="3"/>
  <c r="A75" i="3"/>
  <c r="A91" i="3"/>
  <c r="B14" i="4"/>
  <c r="B30" i="4"/>
  <c r="B45" i="4"/>
  <c r="B59" i="4"/>
  <c r="B73" i="4"/>
  <c r="A10" i="3"/>
  <c r="A23" i="3"/>
  <c r="A36" i="3"/>
  <c r="A50" i="3"/>
  <c r="A67" i="3"/>
  <c r="A81" i="3"/>
  <c r="A95" i="3"/>
  <c r="A84" i="3"/>
  <c r="A73" i="3"/>
  <c r="A62" i="3"/>
  <c r="A51" i="3"/>
  <c r="A40" i="3"/>
  <c r="A89" i="3"/>
  <c r="A77" i="3"/>
  <c r="A65" i="3"/>
  <c r="A53" i="3"/>
  <c r="A41" i="3"/>
  <c r="A29" i="3"/>
  <c r="A18" i="3"/>
  <c r="A7" i="3"/>
  <c r="A100" i="3"/>
  <c r="A76" i="3"/>
  <c r="A64" i="3"/>
  <c r="A52" i="3"/>
  <c r="A39" i="3"/>
  <c r="A28" i="3"/>
  <c r="A17" i="3"/>
  <c r="A88" i="3"/>
  <c r="A6" i="3"/>
  <c r="A20" i="3"/>
  <c r="A33" i="3"/>
  <c r="A47" i="3"/>
  <c r="A61" i="3"/>
  <c r="A78" i="3"/>
  <c r="A92" i="3"/>
  <c r="A80" i="3"/>
  <c r="B99" i="4"/>
  <c r="B88" i="4"/>
  <c r="B77" i="4"/>
  <c r="B66" i="4"/>
  <c r="B55" i="4"/>
  <c r="B44" i="4"/>
  <c r="B33" i="4"/>
  <c r="B22" i="4"/>
  <c r="B11" i="4"/>
  <c r="B89" i="4"/>
  <c r="B76" i="4"/>
  <c r="B64" i="4"/>
  <c r="B52" i="4"/>
  <c r="B40" i="4"/>
  <c r="B28" i="4"/>
  <c r="B16" i="4"/>
  <c r="B5" i="4"/>
  <c r="B87" i="4"/>
  <c r="B75" i="4"/>
  <c r="B63" i="4"/>
  <c r="B51" i="4"/>
  <c r="B39" i="4"/>
  <c r="B27" i="4"/>
  <c r="B100" i="4"/>
  <c r="B15" i="4"/>
  <c r="B19" i="4"/>
  <c r="B34" i="4"/>
  <c r="B48" i="4"/>
  <c r="B62" i="4"/>
  <c r="B79" i="4"/>
  <c r="B93" i="4"/>
  <c r="A11" i="3"/>
  <c r="A24" i="3"/>
  <c r="A37" i="3"/>
  <c r="A54" i="3"/>
  <c r="A68" i="3"/>
  <c r="A82" i="3"/>
  <c r="A97" i="3"/>
  <c r="A9" i="3"/>
  <c r="A22" i="3"/>
  <c r="A35" i="3"/>
  <c r="A49" i="3"/>
  <c r="A66" i="3"/>
  <c r="A94" i="3"/>
  <c r="B94" i="4"/>
  <c r="B7" i="4"/>
  <c r="B36" i="4"/>
  <c r="B50" i="4"/>
  <c r="B67" i="4"/>
  <c r="B81" i="4"/>
  <c r="B95" i="4"/>
  <c r="A12" i="3"/>
  <c r="A25" i="3"/>
  <c r="A38" i="3"/>
  <c r="A55" i="3"/>
  <c r="A69" i="3"/>
  <c r="A83" i="3"/>
  <c r="A98" i="3"/>
  <c r="B23" i="4"/>
  <c r="B37" i="4"/>
  <c r="B53" i="4"/>
  <c r="B68" i="4"/>
  <c r="B96" i="4"/>
  <c r="A17" i="5"/>
  <c r="A32" i="5"/>
  <c r="A66" i="5"/>
  <c r="A83" i="5"/>
  <c r="A99" i="5"/>
  <c r="A94" i="6"/>
  <c r="A83" i="6"/>
  <c r="A72" i="6"/>
  <c r="A61" i="6"/>
  <c r="A50" i="6"/>
  <c r="A39" i="6"/>
  <c r="A28" i="6"/>
  <c r="A17" i="6"/>
  <c r="A6" i="6"/>
  <c r="A91" i="6"/>
  <c r="A79" i="6"/>
  <c r="A67" i="6"/>
  <c r="A55" i="6"/>
  <c r="A43" i="6"/>
  <c r="A31" i="6"/>
  <c r="A19" i="6"/>
  <c r="A7" i="6"/>
  <c r="A98" i="6"/>
  <c r="A85" i="6"/>
  <c r="A71" i="6"/>
  <c r="A58" i="6"/>
  <c r="A45" i="6"/>
  <c r="A32" i="6"/>
  <c r="A18" i="6"/>
  <c r="A5" i="6"/>
  <c r="A97" i="6"/>
  <c r="A84" i="6"/>
  <c r="A70" i="6"/>
  <c r="A57" i="6"/>
  <c r="A44" i="6"/>
  <c r="A30" i="6"/>
  <c r="A16" i="6"/>
  <c r="A96" i="6"/>
  <c r="A82" i="6"/>
  <c r="A69" i="6"/>
  <c r="A56" i="6"/>
  <c r="A42" i="6"/>
  <c r="A29" i="6"/>
  <c r="A15" i="6"/>
  <c r="A95" i="6"/>
  <c r="A81" i="6"/>
  <c r="A68" i="6"/>
  <c r="A54" i="6"/>
  <c r="A41" i="6"/>
  <c r="A27" i="6"/>
  <c r="A14" i="6"/>
  <c r="A93" i="6"/>
  <c r="A80" i="6"/>
  <c r="A66" i="6"/>
  <c r="A53" i="6"/>
  <c r="A40" i="6"/>
  <c r="A26" i="6"/>
  <c r="A13" i="6"/>
  <c r="A25" i="6"/>
  <c r="A51" i="6"/>
  <c r="A76" i="6"/>
  <c r="A13" i="3"/>
  <c r="A26" i="3"/>
  <c r="A42" i="3"/>
  <c r="A56" i="3"/>
  <c r="A70" i="3"/>
  <c r="A85" i="3"/>
  <c r="A99" i="3"/>
  <c r="A8" i="6"/>
  <c r="A33" i="6"/>
  <c r="A52" i="6"/>
  <c r="A77" i="6"/>
  <c r="B96" i="6"/>
  <c r="B85" i="6"/>
  <c r="B74" i="6"/>
  <c r="B63" i="6"/>
  <c r="B52" i="6"/>
  <c r="B41" i="6"/>
  <c r="B30" i="6"/>
  <c r="B19" i="6"/>
  <c r="B8" i="6"/>
  <c r="B91" i="6"/>
  <c r="B79" i="6"/>
  <c r="B67" i="6"/>
  <c r="B55" i="6"/>
  <c r="B43" i="6"/>
  <c r="B31" i="6"/>
  <c r="B18" i="6"/>
  <c r="B6" i="6"/>
  <c r="B94" i="6"/>
  <c r="B81" i="6"/>
  <c r="B68" i="6"/>
  <c r="B54" i="6"/>
  <c r="B40" i="6"/>
  <c r="B27" i="6"/>
  <c r="B14" i="6"/>
  <c r="B93" i="6"/>
  <c r="B80" i="6"/>
  <c r="B66" i="6"/>
  <c r="B53" i="6"/>
  <c r="B39" i="6"/>
  <c r="B26" i="6"/>
  <c r="B13" i="6"/>
  <c r="B92" i="6"/>
  <c r="B78" i="6"/>
  <c r="B65" i="6"/>
  <c r="B51" i="6"/>
  <c r="B38" i="6"/>
  <c r="B25" i="6"/>
  <c r="B12" i="6"/>
  <c r="B90" i="6"/>
  <c r="B77" i="6"/>
  <c r="B64" i="6"/>
  <c r="B50" i="6"/>
  <c r="B37" i="6"/>
  <c r="B24" i="6"/>
  <c r="B11" i="6"/>
  <c r="B89" i="6"/>
  <c r="B76" i="6"/>
  <c r="B62" i="6"/>
  <c r="B49" i="6"/>
  <c r="B36" i="6"/>
  <c r="B23" i="6"/>
  <c r="B10" i="6"/>
  <c r="B32" i="6"/>
  <c r="B57" i="6"/>
  <c r="B82" i="6"/>
  <c r="A8" i="3"/>
  <c r="A21" i="3"/>
  <c r="A34" i="3"/>
  <c r="A48" i="3"/>
  <c r="A63" i="3"/>
  <c r="A79" i="3"/>
  <c r="A93" i="3"/>
  <c r="B6" i="4"/>
  <c r="B20" i="4"/>
  <c r="B35" i="4"/>
  <c r="B49" i="4"/>
  <c r="B65" i="4"/>
  <c r="B8" i="4"/>
  <c r="B82" i="4"/>
  <c r="A48" i="5"/>
  <c r="B9" i="4"/>
  <c r="B24" i="4"/>
  <c r="B38" i="4"/>
  <c r="B54" i="4"/>
  <c r="B69" i="4"/>
  <c r="B83" i="4"/>
  <c r="B97" i="4"/>
  <c r="A18" i="5"/>
  <c r="A33" i="5"/>
  <c r="A49" i="5"/>
  <c r="A67" i="5"/>
  <c r="A84" i="5"/>
  <c r="A14" i="3"/>
  <c r="A27" i="3"/>
  <c r="A43" i="3"/>
  <c r="A57" i="3"/>
  <c r="A71" i="3"/>
  <c r="A86" i="3"/>
  <c r="A97" i="4"/>
  <c r="A86" i="4"/>
  <c r="A75" i="4"/>
  <c r="A64" i="4"/>
  <c r="A53" i="4"/>
  <c r="A42" i="4"/>
  <c r="A31" i="4"/>
  <c r="A20" i="4"/>
  <c r="A9" i="4"/>
  <c r="A89" i="4"/>
  <c r="A77" i="4"/>
  <c r="A65" i="4"/>
  <c r="A52" i="4"/>
  <c r="A40" i="4"/>
  <c r="A28" i="4"/>
  <c r="A16" i="4"/>
  <c r="A5" i="4"/>
  <c r="A100" i="4"/>
  <c r="A88" i="4"/>
  <c r="A76" i="4"/>
  <c r="A63" i="4"/>
  <c r="A51" i="4"/>
  <c r="A39" i="4"/>
  <c r="A27" i="4"/>
  <c r="A15" i="4"/>
  <c r="A19" i="4"/>
  <c r="A34" i="4"/>
  <c r="A48" i="4"/>
  <c r="A62" i="4"/>
  <c r="A79" i="4"/>
  <c r="A93" i="4"/>
  <c r="B10" i="4"/>
  <c r="B25" i="4"/>
  <c r="B41" i="4"/>
  <c r="B56" i="4"/>
  <c r="B70" i="4"/>
  <c r="B84" i="4"/>
  <c r="B98" i="4"/>
  <c r="A19" i="5"/>
  <c r="A34" i="5"/>
  <c r="A53" i="5"/>
  <c r="A69" i="5"/>
  <c r="A9" i="6"/>
  <c r="A34" i="6"/>
  <c r="A59" i="6"/>
  <c r="A78" i="6"/>
  <c r="B7" i="6"/>
  <c r="B33" i="6"/>
  <c r="B58" i="6"/>
  <c r="B83" i="6"/>
  <c r="B80" i="4"/>
  <c r="B21" i="4"/>
  <c r="A15" i="3"/>
  <c r="A30" i="3"/>
  <c r="A44" i="3"/>
  <c r="A58" i="3"/>
  <c r="A72" i="3"/>
  <c r="A87" i="3"/>
  <c r="B12" i="4"/>
  <c r="B26" i="4"/>
  <c r="B42" i="4"/>
  <c r="B57" i="4"/>
  <c r="B71" i="4"/>
  <c r="B85" i="4"/>
  <c r="A90" i="5"/>
  <c r="A79" i="5"/>
  <c r="A92" i="5"/>
  <c r="A80" i="5"/>
  <c r="A68" i="5"/>
  <c r="A57" i="5"/>
  <c r="A46" i="5"/>
  <c r="A35" i="5"/>
  <c r="A24" i="5"/>
  <c r="A13" i="5"/>
  <c r="A89" i="5"/>
  <c r="A76" i="5"/>
  <c r="A64" i="5"/>
  <c r="A52" i="5"/>
  <c r="A40" i="5"/>
  <c r="A28" i="5"/>
  <c r="A16" i="5"/>
  <c r="A5" i="5"/>
  <c r="A88" i="5"/>
  <c r="A75" i="5"/>
  <c r="A63" i="5"/>
  <c r="A51" i="5"/>
  <c r="A39" i="5"/>
  <c r="A27" i="5"/>
  <c r="A15" i="5"/>
  <c r="A100" i="5"/>
  <c r="A87" i="5"/>
  <c r="A74" i="5"/>
  <c r="A62" i="5"/>
  <c r="A50" i="5"/>
  <c r="A38" i="5"/>
  <c r="A26" i="5"/>
  <c r="A14" i="5"/>
  <c r="A20" i="5"/>
  <c r="A36" i="5"/>
  <c r="A54" i="5"/>
  <c r="A70" i="5"/>
  <c r="A86" i="5"/>
  <c r="A10" i="6"/>
  <c r="A35" i="6"/>
  <c r="A60" i="6"/>
  <c r="A86" i="6"/>
  <c r="B92" i="13"/>
  <c r="B81" i="13"/>
  <c r="B70" i="13"/>
  <c r="B59" i="13"/>
  <c r="B48" i="13"/>
  <c r="B37" i="13"/>
  <c r="B26" i="13"/>
  <c r="B15" i="13"/>
  <c r="B5" i="13"/>
  <c r="B90" i="13"/>
  <c r="B79" i="13"/>
  <c r="B68" i="13"/>
  <c r="B57" i="13"/>
  <c r="B46" i="13"/>
  <c r="B35" i="13"/>
  <c r="B24" i="13"/>
  <c r="B13" i="13"/>
  <c r="B100" i="13"/>
  <c r="B87" i="13"/>
  <c r="B74" i="13"/>
  <c r="B61" i="13"/>
  <c r="B47" i="13"/>
  <c r="B33" i="13"/>
  <c r="B20" i="13"/>
  <c r="B7" i="13"/>
  <c r="B99" i="13"/>
  <c r="B86" i="13"/>
  <c r="B73" i="13"/>
  <c r="B60" i="13"/>
  <c r="B45" i="13"/>
  <c r="B32" i="13"/>
  <c r="B19" i="13"/>
  <c r="B6" i="13"/>
  <c r="B97" i="13"/>
  <c r="B84" i="13"/>
  <c r="B71" i="13"/>
  <c r="B56" i="13"/>
  <c r="B43" i="13"/>
  <c r="B30" i="13"/>
  <c r="B17" i="13"/>
  <c r="B91" i="13"/>
  <c r="B77" i="13"/>
  <c r="B64" i="13"/>
  <c r="B51" i="13"/>
  <c r="B38" i="13"/>
  <c r="B23" i="13"/>
  <c r="B10" i="13"/>
  <c r="B98" i="13"/>
  <c r="B78" i="13"/>
  <c r="B55" i="13"/>
  <c r="B36" i="13"/>
  <c r="B14" i="13"/>
  <c r="B96" i="13"/>
  <c r="B76" i="13"/>
  <c r="B54" i="13"/>
  <c r="B34" i="13"/>
  <c r="B12" i="13"/>
  <c r="B29" i="13"/>
  <c r="B58" i="13"/>
  <c r="B83" i="13"/>
  <c r="A84" i="11"/>
  <c r="A98" i="8"/>
  <c r="A87" i="8"/>
  <c r="A76" i="8"/>
  <c r="A65" i="8"/>
  <c r="A54" i="8"/>
  <c r="A43" i="8"/>
  <c r="A32" i="8"/>
  <c r="A21" i="8"/>
  <c r="A10" i="8"/>
  <c r="A91" i="8"/>
  <c r="A79" i="8"/>
  <c r="A67" i="8"/>
  <c r="A55" i="8"/>
  <c r="A42" i="8"/>
  <c r="A30" i="8"/>
  <c r="A18" i="8"/>
  <c r="A6" i="8"/>
  <c r="A19" i="8"/>
  <c r="A33" i="8"/>
  <c r="A46" i="8"/>
  <c r="A59" i="8"/>
  <c r="A72" i="8"/>
  <c r="A85" i="8"/>
  <c r="A99" i="8"/>
  <c r="B15" i="8"/>
  <c r="B28" i="8"/>
  <c r="B41" i="8"/>
  <c r="B56" i="8"/>
  <c r="B72" i="8"/>
  <c r="B86" i="8"/>
  <c r="B100" i="8"/>
  <c r="B92" i="5"/>
  <c r="B81" i="5"/>
  <c r="B70" i="5"/>
  <c r="B59" i="5"/>
  <c r="B48" i="5"/>
  <c r="B37" i="5"/>
  <c r="B26" i="5"/>
  <c r="B15" i="5"/>
  <c r="B5" i="5"/>
  <c r="B91" i="5"/>
  <c r="B79" i="5"/>
  <c r="B67" i="5"/>
  <c r="B55" i="5"/>
  <c r="B43" i="5"/>
  <c r="B31" i="5"/>
  <c r="B19" i="5"/>
  <c r="B7" i="5"/>
  <c r="B18" i="5"/>
  <c r="B32" i="5"/>
  <c r="B45" i="5"/>
  <c r="B58" i="5"/>
  <c r="B72" i="5"/>
  <c r="B85" i="5"/>
  <c r="B98" i="5"/>
  <c r="A7" i="8"/>
  <c r="A20" i="8"/>
  <c r="A34" i="8"/>
  <c r="A47" i="8"/>
  <c r="A60" i="8"/>
  <c r="A73" i="8"/>
  <c r="A86" i="8"/>
  <c r="A100" i="8"/>
  <c r="B16" i="8"/>
  <c r="B29" i="8"/>
  <c r="B43" i="8"/>
  <c r="B58" i="8"/>
  <c r="B73" i="8"/>
  <c r="B87" i="8"/>
  <c r="A6" i="11"/>
  <c r="A32" i="11"/>
  <c r="A58" i="11"/>
  <c r="B18" i="13"/>
  <c r="B42" i="13"/>
  <c r="B67" i="13"/>
  <c r="B94" i="13"/>
  <c r="A99" i="11"/>
  <c r="A88" i="11"/>
  <c r="A77" i="11"/>
  <c r="A66" i="11"/>
  <c r="A55" i="11"/>
  <c r="A44" i="11"/>
  <c r="A33" i="11"/>
  <c r="A22" i="11"/>
  <c r="A11" i="11"/>
  <c r="A97" i="11"/>
  <c r="A86" i="11"/>
  <c r="A75" i="11"/>
  <c r="A64" i="11"/>
  <c r="A53" i="11"/>
  <c r="A42" i="11"/>
  <c r="A31" i="11"/>
  <c r="A20" i="11"/>
  <c r="A9" i="11"/>
  <c r="A93" i="11"/>
  <c r="A80" i="11"/>
  <c r="A67" i="11"/>
  <c r="A52" i="11"/>
  <c r="A39" i="11"/>
  <c r="A26" i="11"/>
  <c r="A13" i="11"/>
  <c r="A92" i="11"/>
  <c r="A79" i="11"/>
  <c r="A65" i="11"/>
  <c r="A51" i="11"/>
  <c r="A38" i="11"/>
  <c r="A25" i="11"/>
  <c r="A12" i="11"/>
  <c r="A90" i="11"/>
  <c r="A76" i="11"/>
  <c r="A62" i="11"/>
  <c r="A49" i="11"/>
  <c r="A36" i="11"/>
  <c r="A23" i="11"/>
  <c r="A8" i="11"/>
  <c r="A96" i="11"/>
  <c r="A83" i="11"/>
  <c r="A70" i="11"/>
  <c r="A57" i="11"/>
  <c r="A43" i="11"/>
  <c r="A29" i="11"/>
  <c r="A16" i="11"/>
  <c r="A82" i="11"/>
  <c r="A60" i="11"/>
  <c r="A40" i="11"/>
  <c r="A18" i="11"/>
  <c r="A81" i="11"/>
  <c r="A59" i="11"/>
  <c r="A37" i="11"/>
  <c r="A17" i="11"/>
  <c r="A30" i="11"/>
  <c r="A56" i="11"/>
  <c r="B16" i="13"/>
  <c r="B41" i="13"/>
  <c r="B66" i="13"/>
  <c r="B93" i="13"/>
  <c r="A16" i="2"/>
  <c r="A27" i="2"/>
  <c r="A38" i="2"/>
  <c r="A49" i="2"/>
  <c r="A60" i="2"/>
  <c r="A71" i="2"/>
  <c r="A82" i="2"/>
  <c r="B6" i="5"/>
  <c r="B20" i="5"/>
  <c r="B33" i="5"/>
  <c r="B46" i="5"/>
  <c r="B60" i="5"/>
  <c r="B73" i="5"/>
  <c r="B86" i="5"/>
  <c r="B99" i="5"/>
  <c r="A8" i="8"/>
  <c r="A22" i="8"/>
  <c r="A35" i="8"/>
  <c r="A48" i="8"/>
  <c r="A61" i="8"/>
  <c r="A74" i="8"/>
  <c r="A88" i="8"/>
  <c r="B5" i="8"/>
  <c r="B17" i="8"/>
  <c r="B31" i="8"/>
  <c r="B44" i="8"/>
  <c r="B59" i="8"/>
  <c r="B74" i="8"/>
  <c r="A7" i="11"/>
  <c r="A34" i="11"/>
  <c r="A61" i="11"/>
  <c r="A87" i="11"/>
  <c r="B21" i="13"/>
  <c r="B44" i="13"/>
  <c r="B69" i="13"/>
  <c r="B95" i="13"/>
  <c r="B93" i="8"/>
  <c r="B82" i="8"/>
  <c r="B71" i="8"/>
  <c r="B60" i="8"/>
  <c r="B49" i="8"/>
  <c r="B94" i="8"/>
  <c r="B81" i="8"/>
  <c r="B69" i="8"/>
  <c r="B57" i="8"/>
  <c r="B45" i="8"/>
  <c r="B34" i="8"/>
  <c r="B23" i="8"/>
  <c r="B12" i="8"/>
  <c r="B96" i="8"/>
  <c r="B83" i="8"/>
  <c r="B68" i="8"/>
  <c r="B55" i="8"/>
  <c r="B42" i="8"/>
  <c r="B30" i="8"/>
  <c r="B18" i="8"/>
  <c r="B6" i="8"/>
  <c r="B19" i="8"/>
  <c r="B32" i="8"/>
  <c r="B46" i="8"/>
  <c r="B61" i="8"/>
  <c r="B75" i="8"/>
  <c r="B89" i="8"/>
  <c r="A10" i="11"/>
  <c r="A35" i="11"/>
  <c r="A63" i="11"/>
  <c r="A89" i="11"/>
  <c r="B22" i="13"/>
  <c r="B49" i="13"/>
  <c r="B72" i="13"/>
  <c r="A11" i="8"/>
  <c r="A24" i="8"/>
  <c r="A37" i="8"/>
  <c r="A50" i="8"/>
  <c r="A63" i="8"/>
  <c r="A77" i="8"/>
  <c r="A90" i="8"/>
  <c r="B7" i="8"/>
  <c r="B20" i="8"/>
  <c r="B33" i="8"/>
  <c r="B47" i="8"/>
  <c r="B62" i="8"/>
  <c r="B76" i="8"/>
  <c r="B90" i="8"/>
  <c r="A14" i="11"/>
  <c r="A41" i="11"/>
  <c r="A68" i="11"/>
  <c r="A91" i="11"/>
  <c r="B25" i="13"/>
  <c r="B50" i="13"/>
  <c r="B75" i="13"/>
  <c r="A5" i="13"/>
  <c r="A26" i="13"/>
  <c r="A45" i="13"/>
  <c r="A69" i="13"/>
  <c r="A90" i="13"/>
  <c r="A79" i="13"/>
  <c r="A68" i="13"/>
  <c r="A57" i="13"/>
  <c r="A46" i="13"/>
  <c r="A35" i="13"/>
  <c r="A24" i="13"/>
  <c r="A13" i="13"/>
  <c r="A99" i="13"/>
  <c r="A88" i="13"/>
  <c r="A77" i="13"/>
  <c r="A66" i="13"/>
  <c r="A55" i="13"/>
  <c r="A44" i="13"/>
  <c r="A33" i="13"/>
  <c r="A22" i="13"/>
  <c r="A11" i="13"/>
  <c r="A91" i="13"/>
  <c r="A76" i="13"/>
  <c r="A63" i="13"/>
  <c r="A50" i="13"/>
  <c r="A37" i="13"/>
  <c r="A23" i="13"/>
  <c r="A9" i="13"/>
  <c r="A89" i="13"/>
  <c r="A75" i="13"/>
  <c r="A62" i="13"/>
  <c r="A49" i="13"/>
  <c r="A36" i="13"/>
  <c r="A21" i="13"/>
  <c r="A8" i="13"/>
  <c r="A100" i="13"/>
  <c r="A86" i="13"/>
  <c r="A73" i="13"/>
  <c r="A60" i="13"/>
  <c r="A47" i="13"/>
  <c r="A32" i="13"/>
  <c r="A19" i="13"/>
  <c r="A6" i="13"/>
  <c r="A94" i="13"/>
  <c r="A81" i="13"/>
  <c r="A67" i="13"/>
  <c r="A53" i="13"/>
  <c r="A40" i="13"/>
  <c r="A27" i="13"/>
  <c r="A14" i="13"/>
  <c r="A28" i="13"/>
  <c r="A48" i="13"/>
  <c r="A70" i="13"/>
  <c r="A92" i="13"/>
  <c r="A97" i="10"/>
  <c r="A86" i="10"/>
  <c r="A75" i="10"/>
  <c r="A64" i="10"/>
  <c r="A53" i="10"/>
  <c r="A42" i="10"/>
  <c r="A31" i="10"/>
  <c r="A20" i="10"/>
  <c r="A9" i="10"/>
  <c r="A95" i="10"/>
  <c r="A84" i="10"/>
  <c r="A73" i="10"/>
  <c r="A62" i="10"/>
  <c r="A51" i="10"/>
  <c r="A40" i="10"/>
  <c r="A29" i="10"/>
  <c r="A18" i="10"/>
  <c r="A7" i="10"/>
  <c r="A19" i="10"/>
  <c r="A33" i="10"/>
  <c r="A46" i="10"/>
  <c r="A59" i="10"/>
  <c r="A72" i="10"/>
  <c r="A87" i="10"/>
  <c r="A100" i="10"/>
  <c r="A98" i="15"/>
  <c r="A87" i="15"/>
  <c r="A76" i="15"/>
  <c r="A65" i="15"/>
  <c r="A54" i="15"/>
  <c r="A43" i="15"/>
  <c r="A32" i="15"/>
  <c r="A21" i="15"/>
  <c r="A10" i="15"/>
  <c r="A97" i="15"/>
  <c r="A86" i="15"/>
  <c r="A75" i="15"/>
  <c r="A64" i="15"/>
  <c r="A53" i="15"/>
  <c r="A42" i="15"/>
  <c r="A31" i="15"/>
  <c r="A20" i="15"/>
  <c r="A9" i="15"/>
  <c r="A96" i="15"/>
  <c r="A85" i="15"/>
  <c r="A74" i="15"/>
  <c r="A63" i="15"/>
  <c r="A52" i="15"/>
  <c r="A41" i="15"/>
  <c r="A30" i="15"/>
  <c r="A19" i="15"/>
  <c r="A8" i="15"/>
  <c r="A95" i="15"/>
  <c r="A84" i="15"/>
  <c r="A73" i="15"/>
  <c r="A62" i="15"/>
  <c r="A51" i="15"/>
  <c r="A40" i="15"/>
  <c r="A29" i="15"/>
  <c r="A18" i="15"/>
  <c r="A7" i="15"/>
  <c r="A24" i="15"/>
  <c r="A39" i="15"/>
  <c r="A58" i="15"/>
  <c r="A77" i="15"/>
  <c r="A92" i="15"/>
  <c r="B14" i="15"/>
  <c r="B29" i="15"/>
  <c r="B48" i="15"/>
  <c r="B63" i="15"/>
  <c r="B82" i="15"/>
  <c r="A14" i="15"/>
  <c r="A33" i="15"/>
  <c r="A48" i="15"/>
  <c r="A67" i="15"/>
  <c r="A82" i="15"/>
  <c r="B5" i="15"/>
  <c r="B19" i="15"/>
  <c r="B38" i="15"/>
  <c r="B57" i="15"/>
  <c r="B72" i="15"/>
  <c r="A15" i="15"/>
  <c r="A34" i="15"/>
  <c r="A49" i="15"/>
  <c r="A68" i="15"/>
  <c r="A83" i="15"/>
  <c r="B100" i="15"/>
  <c r="B89" i="15"/>
  <c r="B78" i="15"/>
  <c r="B67" i="15"/>
  <c r="B56" i="15"/>
  <c r="B45" i="15"/>
  <c r="B34" i="15"/>
  <c r="B23" i="15"/>
  <c r="B12" i="15"/>
  <c r="B99" i="15"/>
  <c r="B88" i="15"/>
  <c r="B77" i="15"/>
  <c r="B66" i="15"/>
  <c r="B55" i="15"/>
  <c r="B44" i="15"/>
  <c r="B33" i="15"/>
  <c r="B22" i="15"/>
  <c r="B11" i="15"/>
  <c r="B98" i="15"/>
  <c r="B87" i="15"/>
  <c r="B76" i="15"/>
  <c r="B65" i="15"/>
  <c r="B54" i="15"/>
  <c r="B43" i="15"/>
  <c r="B32" i="15"/>
  <c r="B21" i="15"/>
  <c r="B10" i="15"/>
  <c r="B97" i="15"/>
  <c r="B86" i="15"/>
  <c r="B75" i="15"/>
  <c r="B64" i="15"/>
  <c r="B53" i="15"/>
  <c r="B42" i="15"/>
  <c r="B31" i="15"/>
  <c r="B20" i="15"/>
  <c r="B9" i="15"/>
  <c r="B92" i="15"/>
  <c r="B91" i="15"/>
  <c r="B24" i="15"/>
  <c r="B39" i="15"/>
  <c r="B58" i="15"/>
  <c r="B73" i="15"/>
  <c r="B94" i="15"/>
  <c r="A16" i="15"/>
  <c r="A35" i="15"/>
  <c r="A50" i="15"/>
  <c r="A69" i="15"/>
  <c r="A88" i="15"/>
  <c r="B6" i="15"/>
  <c r="B25" i="15"/>
  <c r="B40" i="15"/>
  <c r="B59" i="15"/>
  <c r="B74" i="15"/>
  <c r="B95" i="15"/>
  <c r="A17" i="15"/>
  <c r="A36" i="15"/>
  <c r="A55" i="15"/>
  <c r="A70" i="15"/>
  <c r="A89" i="15"/>
  <c r="B7" i="15"/>
  <c r="B26" i="15"/>
  <c r="B41" i="15"/>
  <c r="B60" i="15"/>
  <c r="B79" i="15"/>
  <c r="B96" i="15"/>
  <c r="B16" i="14"/>
  <c r="B27" i="14"/>
  <c r="B38" i="14"/>
  <c r="B49" i="14"/>
  <c r="B60" i="14"/>
  <c r="B71" i="14"/>
  <c r="B82" i="14"/>
  <c r="B93" i="14"/>
  <c r="A16" i="9"/>
  <c r="A27" i="9"/>
  <c r="A38" i="9"/>
  <c r="A49" i="9"/>
  <c r="A60" i="9"/>
  <c r="A71" i="9"/>
  <c r="A82" i="9"/>
  <c r="A93" i="9"/>
  <c r="A5" i="14"/>
  <c r="A15" i="14"/>
  <c r="A26" i="14"/>
  <c r="A37" i="14"/>
  <c r="A48" i="14"/>
  <c r="A59" i="14"/>
  <c r="A70" i="14"/>
  <c r="A81" i="14"/>
  <c r="A92" i="14"/>
  <c r="B6" i="14"/>
  <c r="B17" i="14"/>
  <c r="B28" i="14"/>
  <c r="B39" i="14"/>
  <c r="B50" i="14"/>
  <c r="B61" i="14"/>
  <c r="B72" i="14"/>
  <c r="B83" i="14"/>
  <c r="B94" i="14"/>
  <c r="A16" i="14"/>
  <c r="A27" i="14"/>
  <c r="A38" i="14"/>
  <c r="A49" i="14"/>
  <c r="A60" i="14"/>
  <c r="A71" i="14"/>
  <c r="A82" i="14"/>
  <c r="A93" i="14"/>
  <c r="B7" i="14"/>
  <c r="B18" i="14"/>
  <c r="B29" i="14"/>
  <c r="B40" i="14"/>
  <c r="B51" i="14"/>
  <c r="B62" i="14"/>
  <c r="B73" i="14"/>
  <c r="B84" i="14"/>
  <c r="B95" i="14"/>
  <c r="A7" i="9"/>
  <c r="A18" i="9"/>
  <c r="A29" i="9"/>
  <c r="A40" i="9"/>
  <c r="A51" i="9"/>
  <c r="A62" i="9"/>
  <c r="A73" i="9"/>
  <c r="A84" i="9"/>
  <c r="A6" i="14"/>
  <c r="A17" i="14"/>
  <c r="A28" i="14"/>
  <c r="A39" i="14"/>
  <c r="A50" i="14"/>
  <c r="A61" i="14"/>
  <c r="A72" i="14"/>
  <c r="A83" i="14"/>
  <c r="B8" i="14"/>
  <c r="B19" i="14"/>
  <c r="B30" i="14"/>
  <c r="B41" i="14"/>
  <c r="B52" i="14"/>
  <c r="B63" i="14"/>
  <c r="B74" i="14"/>
  <c r="B85" i="14"/>
</calcChain>
</file>

<file path=xl/sharedStrings.xml><?xml version="1.0" encoding="utf-8"?>
<sst xmlns="http://schemas.openxmlformats.org/spreadsheetml/2006/main" count="798" uniqueCount="602">
  <si>
    <t>Study ID</t>
  </si>
  <si>
    <t>A unique alphanumeric identifier for this study</t>
  </si>
  <si>
    <t>STUDY001</t>
  </si>
  <si>
    <t>Description (optional)</t>
  </si>
  <si>
    <t>A detailed description of the project which includes research goals and experimental approach. Project description should be fewer than 300 words, such as an abstract from a grant application or publication.</t>
  </si>
  <si>
    <t>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</si>
  <si>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Material</t>
  </si>
  <si>
    <t>The type of material being described.</t>
  </si>
  <si>
    <t>Organism</t>
  </si>
  <si>
    <t>Project</t>
  </si>
  <si>
    <t>State that the project is 'FAANG'.</t>
  </si>
  <si>
    <t>FAANG</t>
  </si>
  <si>
    <t>Cell Enrichment</t>
  </si>
  <si>
    <t>The method by which specific cell populations are sorted or enriched, e.g. 'fluorescence-activated cell sorting (FACS)'. Please contact FAANG DCC to add more terms.</t>
  </si>
  <si>
    <t>Fluorescence-activated Cell Sorting (FACS)</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</si>
  <si>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</si>
  <si>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</si>
  <si>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MIT</t>
  </si>
  <si>
    <t>FILL OUT INFORMATION BELOW THIS LINE</t>
  </si>
  <si>
    <t>Orcid ID (optional)</t>
  </si>
  <si>
    <t>A 16-digit number that uniquely identify researchers.</t>
  </si>
  <si>
    <t>0000-1234-5678-9012</t>
  </si>
  <si>
    <t>First Name</t>
  </si>
  <si>
    <t>A first name (or given name) is the personal name given to an individual conducting the study.</t>
  </si>
  <si>
    <t>Jane</t>
  </si>
  <si>
    <t>Last Name</t>
  </si>
  <si>
    <t>A last name (or surname) is the family name passed down from one generation to the next for the individual conducting the study.</t>
  </si>
  <si>
    <t>Doe</t>
  </si>
  <si>
    <t>Email Address (optional)</t>
  </si>
  <si>
    <t>A unique identifier used to send and receive electronic messages (emails) over the internet.</t>
  </si>
  <si>
    <t>jane.doe@example.com</t>
  </si>
  <si>
    <t>Affiliation or Institution</t>
  </si>
  <si>
    <t>An organisation or institution that this person is associated with.</t>
  </si>
  <si>
    <t>University of Liverpool</t>
  </si>
  <si>
    <t>Funder (optional)</t>
  </si>
  <si>
    <t>A person or organization that supports (sponsors) something through some kind of financial contribution.</t>
  </si>
  <si>
    <t>BBSRC</t>
  </si>
  <si>
    <t>Grant Award (optional)</t>
  </si>
  <si>
    <t>A grant that directly or indirectly provides funding or sponsorship for the person to conduct the study.</t>
  </si>
  <si>
    <t>GRAK3489</t>
  </si>
  <si>
    <t>A unique alphanumeric identifier for the  study if referring to</t>
  </si>
  <si>
    <t>Sample ID</t>
  </si>
  <si>
    <t>A unique reference or identifier for the sample. This field must provide a consistent, unambiguous way to identify the sample within and across datasets. It can be a name, code, or accession-like format, as long as it remains unique.</t>
  </si>
  <si>
    <t>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</si>
  <si>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</si>
  <si>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</si>
  <si>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Salvelinus alpinus</t>
  </si>
  <si>
    <t>Arenicola marina</t>
  </si>
  <si>
    <t>Taxon ID</t>
  </si>
  <si>
    <t>A unique identifier (usually from a recognized taxonomy database like NCBI Taxonomy) that corresponds to the organism’s scientific name. It must be accurately matched to the provided scientificName to maintain consistency and traceability in biological records.</t>
  </si>
  <si>
    <t>Biosample Accession</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</si>
  <si>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</si>
  <si>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SAMEA12907823</t>
  </si>
  <si>
    <t>SAMEA132183256</t>
  </si>
  <si>
    <t>Dissociation Protocol ID</t>
  </si>
  <si>
    <t>A unique alphanumeric code for the dissociation protocol in the study</t>
  </si>
  <si>
    <t>DISSOC001</t>
  </si>
  <si>
    <t>Protocol Name</t>
  </si>
  <si>
    <t>A descriptive name of the protocol used for single-cell sequencing.</t>
  </si>
  <si>
    <t>10X Genomics Single Cell 3' Library Prep</t>
  </si>
  <si>
    <t>Enrichment Markers (optional)</t>
  </si>
  <si>
    <t>Description of the specificity markers used to isolate cell populations, e.g. 'CD45+'. Please contact FAANG DCC to add more terms.</t>
  </si>
  <si>
    <t>CD45</t>
  </si>
  <si>
    <t>Isolation Kit (optional)</t>
  </si>
  <si>
    <t>The kit used to isolate the cells.</t>
  </si>
  <si>
    <t>10x Nuclei Isolation Kit</t>
  </si>
  <si>
    <t>Literature Source Reference (optional)</t>
  </si>
  <si>
    <t>Reference to literature sources that describe the protocol or methods used.</t>
  </si>
  <si>
    <t>Doe et al. (2024), 'Single-cell RNA-seq: A comprehensive overview'</t>
  </si>
  <si>
    <t>Protocols IO Reference (optional)</t>
  </si>
  <si>
    <t>Reference link to protocols.io for additional details on the protocol.</t>
  </si>
  <si>
    <t>https://www.protocols.io/view/sample-protocol-b2ubqesn</t>
  </si>
  <si>
    <t>Single cell isolation protocol</t>
  </si>
  <si>
    <t>Link to protocol describing how the single cells were separated into a single-cell suspension.</t>
  </si>
  <si>
    <t>https://api.faang.org/files/protocols/samples/INRAE_SOP_PLUS4PIGS_EMBRYOS_DISSOCIATION_PROTO4_20240710.pdf</t>
  </si>
  <si>
    <t>Workflowhub Sop Reference (optional)</t>
  </si>
  <si>
    <t>Reference to the Standard Operating Procedure (SOP) in workflow hub.</t>
  </si>
  <si>
    <t>https://workflowhub.eu/works/12345</t>
  </si>
  <si>
    <t>Dissociation Protocol Method (optional)</t>
  </si>
  <si>
    <t>The method used to dissociate tissues into single cells.</t>
  </si>
  <si>
    <t>Mechanical and enzymatic dissociation</t>
  </si>
  <si>
    <t>Single Cell Quality Metric (optional)</t>
  </si>
  <si>
    <t>Metrics used to assess the quality of single cells before sequencing.</t>
  </si>
  <si>
    <t>Cell viability percentage</t>
  </si>
  <si>
    <t>Cell Type</t>
  </si>
  <si>
    <t>Provide a cell type from the CL ontology.</t>
  </si>
  <si>
    <t>malignant cell</t>
  </si>
  <si>
    <t>Tissue Dissociation</t>
  </si>
  <si>
    <t>The method by which tissues are dissociated into purified or single cells in suspension. Examples are 'proteolysis', 'mesh passage', 'fine needle trituration'. For blood, milk and other fluids, where there is no tissue dissociation use 'fluids'. Please contact FAANG DCC to add more terms.</t>
  </si>
  <si>
    <t>Proteolysis</t>
  </si>
  <si>
    <t>Derived from</t>
  </si>
  <si>
    <t>Sample name or BioSample ID for a specimen record.</t>
  </si>
  <si>
    <t>SSC_INRAE_GUT_ORGANOID_100I</t>
  </si>
  <si>
    <t>Cell Suspension ID</t>
  </si>
  <si>
    <t>A unique alphanumeric code for the cell suspension for the sample</t>
  </si>
  <si>
    <t>CELLSUSP001</t>
  </si>
  <si>
    <t>A unique reference or identifier for the sample associated with the cell suspension. This field must provide a consistent, unambiguous way to identify the sample within and across datasets. It can be a name, code, or accession-like format, as long as it remains unique.</t>
  </si>
  <si>
    <t>Suspension Type</t>
  </si>
  <si>
    <t>The type of suspension used to keep cells in solution during processing.</t>
  </si>
  <si>
    <t>Cell</t>
  </si>
  <si>
    <t>Purification Protocol</t>
  </si>
  <si>
    <t>Link to protocol describing how the cells were purified.</t>
  </si>
  <si>
    <t>Cell Count (optional)</t>
  </si>
  <si>
    <t>An number representing the number of cells in the sequencing library.</t>
  </si>
  <si>
    <t>10000</t>
  </si>
  <si>
    <t>Cell Viability (optional)</t>
  </si>
  <si>
    <t>The percentage of living cells in a sample, indicating the health and quality of cells for RNA-sequencing analysis.</t>
  </si>
  <si>
    <t>95</t>
  </si>
  <si>
    <t>Cell Viability Assessment Method (optional)</t>
  </si>
  <si>
    <t>The method used to evaluate the viability of cells in the sample, often involving staining or flow cytometry techniques.</t>
  </si>
  <si>
    <t>Trypan Blue Exclusion</t>
  </si>
  <si>
    <t>Cell Size (optional)</t>
  </si>
  <si>
    <t>The size of the cell, typically measured in micrometres.</t>
  </si>
  <si>
    <t>10</t>
  </si>
  <si>
    <t>Suspension Concentration Cells Per µL (optional)</t>
  </si>
  <si>
    <t>The concentration of cells in the suspension in microlitres (µL).</t>
  </si>
  <si>
    <t>1000</t>
  </si>
  <si>
    <t>Suspension Dilution (optional)</t>
  </si>
  <si>
    <t>The dilution factor of the cell suspension.</t>
  </si>
  <si>
    <t>1:10</t>
  </si>
  <si>
    <t>Loading Volume of Cell Suspension (µL) (optional)</t>
  </si>
  <si>
    <t>The volume of the cell suspension loaded into the single-cell RNA-sequencing system for analysis in microlitres (µL).</t>
  </si>
  <si>
    <t>Suspension Dilution Buffer (optional)</t>
  </si>
  <si>
    <t>A solution used to dilute cell suspensions to a desired concentration, typically prior to loading cells into a device for single-cell RNA sequencing. It helps maintain cell viability and integrity during processing.</t>
  </si>
  <si>
    <t>PBS (Phosphate-buffered saline) with 0.04% BSA (Bovine serum albumin)</t>
  </si>
  <si>
    <t>SAMEA112465628</t>
  </si>
  <si>
    <t>Library Preparation ID</t>
  </si>
  <si>
    <t>A unique alphanumeric reference or identifier for the library preparation protocol used during the sequencing.</t>
  </si>
  <si>
    <t>LIBPREP001</t>
  </si>
  <si>
    <t>A unique alphanumeric code for the cell suspension for the library preparation.</t>
  </si>
  <si>
    <t>Library Preparation Kit</t>
  </si>
  <si>
    <t>Packaged kits (containing adapters, indexes, enzymes, buffers etc.), tailored for specific sequencing workflows, which allow the simplified preparation of sequencing-ready libraries for small genomes, amplicons, and plasmids</t>
  </si>
  <si>
    <t>10X Genomics Single Cell 3' v3</t>
  </si>
  <si>
    <t>Library Preparation Kit Version</t>
  </si>
  <si>
    <t>The version number of the library preparation kit used for sequencing.</t>
  </si>
  <si>
    <t>2</t>
  </si>
  <si>
    <t>Amplification Method (optional)</t>
  </si>
  <si>
    <t>The method used to amplify the Complementary DNA (cDNA).</t>
  </si>
  <si>
    <t>PCR</t>
  </si>
  <si>
    <t>cDNA Amplification Cycles (optional)</t>
  </si>
  <si>
    <t>The number of cycles used during the Complementary DNA (cDNA) amplification process.</t>
  </si>
  <si>
    <t>12</t>
  </si>
  <si>
    <t>Average Size Distribution (optional)</t>
  </si>
  <si>
    <t>The average length of RNA fragments in base pairs (BP) after library preparation, indicating the quality and suitability of the RNA for sequencing.</t>
  </si>
  <si>
    <t>350</t>
  </si>
  <si>
    <t>Library Construction Method (optional)</t>
  </si>
  <si>
    <t>The library construction method (including version) that was used.</t>
  </si>
  <si>
    <t>Smart-Seq2</t>
  </si>
  <si>
    <t>Input Molecule (optional)</t>
  </si>
  <si>
    <t>The specific fraction of biological macromolecule from which the sequencing library is derived.</t>
  </si>
  <si>
    <t>RNA</t>
  </si>
  <si>
    <t>Primer (optional)</t>
  </si>
  <si>
    <t>The type of primer used for reverse transcription. This allows users to identify content of the cDNA library input for mRNA.</t>
  </si>
  <si>
    <t>Random</t>
  </si>
  <si>
    <t>Primeness (optional)</t>
  </si>
  <si>
    <t>The end from which the molecule was sequenced.</t>
  </si>
  <si>
    <t>5'</t>
  </si>
  <si>
    <t>End Bias (optional)</t>
  </si>
  <si>
    <t>The end bias of the library.</t>
  </si>
  <si>
    <t>3</t>
  </si>
  <si>
    <t>Library Strand (optional)</t>
  </si>
  <si>
    <t>The Complementary DNA (cDNA) strand of the library from which the reads derived from - sense (first), antisense (second), both or none.</t>
  </si>
  <si>
    <t>Antisense</t>
  </si>
  <si>
    <t>Spike In (optional)</t>
  </si>
  <si>
    <t>External RNA added to the sample as a control to assess technical variability and normalization in RNA-sequencing. State whether spike-in was used.</t>
  </si>
  <si>
    <t>Yes</t>
  </si>
  <si>
    <t>Spike Type (optional)</t>
  </si>
  <si>
    <t>The specific type of external RNA used for spiking in, often indicating the source or nature of the control RNA.</t>
  </si>
  <si>
    <t>Synthetic RNA</t>
  </si>
  <si>
    <t>Spike In Dilution Or Concentration (optional)</t>
  </si>
  <si>
    <t>The final concentration or dilution (for commercial sets) of the spike in mix.</t>
  </si>
  <si>
    <t>1:1000</t>
  </si>
  <si>
    <t>i5 Index</t>
  </si>
  <si>
    <t>Barcode sequence used on the i5 adapter during library preparation for identifying samples in multiplexed single-cell RNA-sequencing. The DNA barcode sequence (A, C, G, T), not a plate or well identifier should be specified.</t>
  </si>
  <si>
    <t>ATCACG</t>
  </si>
  <si>
    <t>i7 Index</t>
  </si>
  <si>
    <t>Barcode sequence used on the i7 adapter to distinguish samples in multiplexed sequencing runs. The nucleotide sequence (A, C, G, T), not a plate or well identifier should be specified.</t>
  </si>
  <si>
    <t>CGATGT</t>
  </si>
  <si>
    <t>Dual or Single Index</t>
  </si>
  <si>
    <t>Specifies if both i5 and i7 indices (dual) or only one index (single) was used for sample identification during sequencing.</t>
  </si>
  <si>
    <t>Dual</t>
  </si>
  <si>
    <t>Plate ID (optional)</t>
  </si>
  <si>
    <t>Identifier for the 96-well plate used in sample preparation.</t>
  </si>
  <si>
    <t>PLT001</t>
  </si>
  <si>
    <t>Well Row (optional)</t>
  </si>
  <si>
    <t>The row identifier in a 96-well plate indicating the sample's position.</t>
  </si>
  <si>
    <t>A</t>
  </si>
  <si>
    <t>Well Column (optional)</t>
  </si>
  <si>
    <t>The column identifier in a 96-well plate indicating the sample's position.</t>
  </si>
  <si>
    <t>5</t>
  </si>
  <si>
    <t>Cell Phenotype (optional)</t>
  </si>
  <si>
    <t>The cell marker for the Fluorescence-Activated Cell Sorting (FACS) of cells.</t>
  </si>
  <si>
    <t>CD41-</t>
  </si>
  <si>
    <t>Pool Creation Date</t>
  </si>
  <si>
    <t>Date at which the pool was created.</t>
  </si>
  <si>
    <t>2025-10-24</t>
  </si>
  <si>
    <t>Pool Creation Protocol</t>
  </si>
  <si>
    <t>A link to the protocol for pool of specimens creation.</t>
  </si>
  <si>
    <t>Design description (optional)</t>
  </si>
  <si>
    <t>The design of the library including details of how it was constructed.</t>
  </si>
  <si>
    <t>Library selection</t>
  </si>
  <si>
    <t>The method used to select for or against, enrich, or screen the material being sequenced.</t>
  </si>
  <si>
    <t>RANDOM PCR</t>
  </si>
  <si>
    <t>Library source</t>
  </si>
  <si>
    <t>The type of source material that is being sequenced.</t>
  </si>
  <si>
    <t>GENOMIC</t>
  </si>
  <si>
    <t>Library strategy</t>
  </si>
  <si>
    <t>The sequencing technique intended for this library.</t>
  </si>
  <si>
    <t>RNA-Seq</t>
  </si>
  <si>
    <t>RANDOM</t>
  </si>
  <si>
    <t>RT-PCR</t>
  </si>
  <si>
    <t>HMPR</t>
  </si>
  <si>
    <t>MF</t>
  </si>
  <si>
    <t>repeat fractionation</t>
  </si>
  <si>
    <t>size fractionation</t>
  </si>
  <si>
    <t>MSLL</t>
  </si>
  <si>
    <t>cDNA</t>
  </si>
  <si>
    <t>cDNA_randomPriming</t>
  </si>
  <si>
    <t>cDNA_oligo_dT</t>
  </si>
  <si>
    <t>PolyA</t>
  </si>
  <si>
    <t>Oligo-dT</t>
  </si>
  <si>
    <t>Inverse rRNA</t>
  </si>
  <si>
    <t>Inverse rRNA selection</t>
  </si>
  <si>
    <t>ChIP</t>
  </si>
  <si>
    <t>ChIP-Seq</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</si>
  <si>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</si>
  <si>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</si>
  <si>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</si>
  <si>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</si>
  <si>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</si>
  <si>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</si>
  <si>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</si>
  <si>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</si>
  <si>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</si>
  <si>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</si>
  <si>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</si>
  <si>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</si>
  <si>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</si>
  <si>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WGS</t>
  </si>
  <si>
    <t>WGA</t>
  </si>
  <si>
    <t>WXS</t>
  </si>
  <si>
    <t>ssRNA-seq</t>
  </si>
  <si>
    <t>snRNA-seq</t>
  </si>
  <si>
    <t>miRNA-Seq</t>
  </si>
  <si>
    <t>ncRNA-Seq</t>
  </si>
  <si>
    <t>FL-cDNA</t>
  </si>
  <si>
    <t>EST</t>
  </si>
  <si>
    <t>Hi-C</t>
  </si>
  <si>
    <t>ATAC-seq</t>
  </si>
  <si>
    <t>WCS</t>
  </si>
  <si>
    <t>RAD-Seq</t>
  </si>
  <si>
    <t>CLONE</t>
  </si>
  <si>
    <t>POOLCLONE</t>
  </si>
  <si>
    <t>AMPLICON</t>
  </si>
  <si>
    <t>CLONEEND</t>
  </si>
  <si>
    <t>FINISHING</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</si>
  <si>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</si>
  <si>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</si>
  <si>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</si>
  <si>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</si>
  <si>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</si>
  <si>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</si>
  <si>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</si>
  <si>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</si>
  <si>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</si>
  <si>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</si>
  <si>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</si>
  <si>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</si>
  <si>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</si>
  <si>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</si>
  <si>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</si>
  <si>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</si>
  <si>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</si>
  <si>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</si>
  <si>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</si>
  <si>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</si>
  <si>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</si>
  <si>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Sequencing ID</t>
  </si>
  <si>
    <t>A unique alphanumeric reference or identifier for the sequencing protocol.</t>
  </si>
  <si>
    <t>SEQ001</t>
  </si>
  <si>
    <t>Sequencing Platform Name</t>
  </si>
  <si>
    <t>The name of the sequencing platform used for the experiment.</t>
  </si>
  <si>
    <t>Pacbio</t>
  </si>
  <si>
    <t>Sequencing Instrument Model</t>
  </si>
  <si>
    <t>This refers to the machine or platform used for sequencing, with variations in throughput, read lengths, error rates, and application suitability.</t>
  </si>
  <si>
    <t>Illumina NovaSeq 6000</t>
  </si>
  <si>
    <t>Library Layout</t>
  </si>
  <si>
    <t>Specify whether to expect single, paired, or other configuration of reads for sequencing</t>
  </si>
  <si>
    <t>Paired</t>
  </si>
  <si>
    <t>UMI Barcode Read (optional)</t>
  </si>
  <si>
    <t>The type of read that contains the Unique Molecular Identifier (UMI) barcode.</t>
  </si>
  <si>
    <t>index2</t>
  </si>
  <si>
    <t>UMI Barcode Offset (optional)</t>
  </si>
  <si>
    <t>The offset in sequence of the Unique Molecular Identifier (UMI) identifying barcode.</t>
  </si>
  <si>
    <t>0</t>
  </si>
  <si>
    <t>UMI Barcode Size (optional)</t>
  </si>
  <si>
    <t>The size of the Unique Molecular Identifier (UMI) identifying barcode.</t>
  </si>
  <si>
    <t>Cell Barcode Read (optional)</t>
  </si>
  <si>
    <t>The type of read that contains the UMI barcode.</t>
  </si>
  <si>
    <t>index1</t>
  </si>
  <si>
    <t>Cell Barcode Offset (optional)</t>
  </si>
  <si>
    <t>The offset in sequence of the cell identifying barcode.</t>
  </si>
  <si>
    <t>Cell Barcode Size (optional)</t>
  </si>
  <si>
    <t>cDNA Read</t>
  </si>
  <si>
    <t>The actual nucleotide sequence obtained from Complementary DNA (cDNA) during sequencing.</t>
  </si>
  <si>
    <t>read1</t>
  </si>
  <si>
    <t>cDNA Read Offset (optional)</t>
  </si>
  <si>
    <t>The starting position of the Complementary DNA (cDNA) read within the entire sequence, indicating where the read begins after any barcodes or technical sequences.</t>
  </si>
  <si>
    <t>cDNA Read Size (optional)</t>
  </si>
  <si>
    <t>The size of the Complementary DNA (cDNA) read.</t>
  </si>
  <si>
    <t>75</t>
  </si>
  <si>
    <t>MinION</t>
  </si>
  <si>
    <t>GridION</t>
  </si>
  <si>
    <t>PromethION</t>
  </si>
  <si>
    <t>454 GS</t>
  </si>
  <si>
    <t>454 GS 20</t>
  </si>
  <si>
    <t>454 GS FLX</t>
  </si>
  <si>
    <t>454 GS FLX+</t>
  </si>
  <si>
    <t>454 GS FLX Titanium</t>
  </si>
  <si>
    <t>454 GS Junior</t>
  </si>
  <si>
    <t>Illumina Genome Analyzer</t>
  </si>
  <si>
    <t>Illumina Genome Analyzer II</t>
  </si>
  <si>
    <t>Illumina Genome Analyzer IIx</t>
  </si>
  <si>
    <t>Illumina HiSeq 1000</t>
  </si>
  <si>
    <t>Illumina HiSeq 1500</t>
  </si>
  <si>
    <t>Illumina HiSeq 2000</t>
  </si>
  <si>
    <t>Illumina HiSeq 2500</t>
  </si>
  <si>
    <t>Illumina HiSeq 3000</t>
  </si>
  <si>
    <t>Illumina HiSeq 4000</t>
  </si>
  <si>
    <t>Illumina iSeq 100</t>
  </si>
  <si>
    <t>Illumina HiScanSQ</t>
  </si>
  <si>
    <t>Illumina NextSeq 500</t>
  </si>
  <si>
    <t>Illumina NextSeq 550</t>
  </si>
  <si>
    <t>Illumina NovaSeq X</t>
  </si>
  <si>
    <t>Illumina NovaSeq X Plus</t>
  </si>
  <si>
    <t>Illumina HiSeq X Five</t>
  </si>
  <si>
    <t>Illumina HiSeq X Ten</t>
  </si>
  <si>
    <t>Illumina MiSeq</t>
  </si>
  <si>
    <t>Illumina MiniSeq</t>
  </si>
  <si>
    <t>NextSeq 1000</t>
  </si>
  <si>
    <t>NextSeq 2000</t>
  </si>
  <si>
    <t>AB SOLiD System</t>
  </si>
  <si>
    <t>AB SOLiD System 2.0</t>
  </si>
  <si>
    <t>AB SOLiD System 3.0</t>
  </si>
  <si>
    <t>AB SOLiD 3 Plus System</t>
  </si>
  <si>
    <t>AB SOLiD 4 System</t>
  </si>
  <si>
    <t>AB SOLiD 4hq System</t>
  </si>
  <si>
    <t>AB SOLiD PI System</t>
  </si>
  <si>
    <t>AB 5500 Genetic Analyzer</t>
  </si>
  <si>
    <t>AB 5500xl Genetic Analyzer</t>
  </si>
  <si>
    <t>AB 5500xl-W Genetic Analysis System</t>
  </si>
  <si>
    <t>Ion Torrent PGM</t>
  </si>
  <si>
    <t>Ion Torrent Proton</t>
  </si>
  <si>
    <t>Ion Torrent S5</t>
  </si>
  <si>
    <t>Ion Torrent S5 XL</t>
  </si>
  <si>
    <t>Complete Genomics</t>
  </si>
  <si>
    <t>Onso</t>
  </si>
  <si>
    <t>PacBio RS</t>
  </si>
  <si>
    <t>PacBio RS II</t>
  </si>
  <si>
    <t>Revio</t>
  </si>
  <si>
    <t>Sequel</t>
  </si>
  <si>
    <t>Sequel II</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</si>
  <si>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</si>
  <si>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</si>
  <si>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</si>
  <si>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</si>
  <si>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</si>
  <si>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</si>
  <si>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</si>
  <si>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</si>
  <si>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</si>
  <si>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</si>
  <si>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</si>
  <si>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</si>
  <si>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</si>
  <si>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DNBSEQ-T10x4RS</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</si>
  <si>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</si>
  <si>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</si>
  <si>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</si>
  <si>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</si>
  <si>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</si>
  <si>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</si>
  <si>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</si>
  <si>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</si>
  <si>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</si>
  <si>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</si>
  <si>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</si>
  <si>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</si>
  <si>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</si>
  <si>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</si>
  <si>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</si>
  <si>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</si>
  <si>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</si>
  <si>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File Derived From (optional)</t>
  </si>
  <si>
    <t>The name of the file that was used to generate the analysis derived data.</t>
  </si>
  <si>
    <t>file1_sequencing.json</t>
  </si>
  <si>
    <t>Inferred Cell Type (optional)</t>
  </si>
  <si>
    <t>Post analysis cell type or identity declaration based on expression profile or known gene function identified by the performer.</t>
  </si>
  <si>
    <t>type II bipolar neuron</t>
  </si>
  <si>
    <t>Post Analysis Cell Well Quality (optional)</t>
  </si>
  <si>
    <t>Performer defined measure of whether the read output
from the cell was included in the sequencing analysis. For example, cells might be excluded if a threshold percentage of reads did not map to the genome or if pre-sequencing quality measures were not passed.</t>
  </si>
  <si>
    <t>Pass</t>
  </si>
  <si>
    <t>Other Derived Cell Attributes (optional)</t>
  </si>
  <si>
    <t>Any other cell level measurement or annotation as result of the analysis.</t>
  </si>
  <si>
    <t>Cluster</t>
  </si>
  <si>
    <t>Number of Cells Analysed (optional)</t>
  </si>
  <si>
    <t>Total number of cells retained after quality-control filtering and included in the downstream analysis.</t>
  </si>
  <si>
    <t>Genes Detected per Cell (optional)</t>
  </si>
  <si>
    <t>Mean or median number of genes detected per cell among the cells included in the analysis.</t>
  </si>
  <si>
    <t>Cell-level QC Threshold (optional)</t>
  </si>
  <si>
    <t>Criteria and cut-off values used to retain or exclude individual cells from downstream analysis.</t>
  </si>
  <si>
    <t>≥200 genes, ≤5,000 genes, &lt;15% mitochondrial reads</t>
  </si>
  <si>
    <t>Number of Clusters or Cell Populations (optional)</t>
  </si>
  <si>
    <t>Total number of computationally identified clusters or annotated cell populations reported in the study.</t>
  </si>
  <si>
    <t>Main Single-cell Response (optional)</t>
  </si>
  <si>
    <t>Principal biological response or finding identified through the single-cell analysis.</t>
  </si>
  <si>
    <t>Increased interferon signalling in macrophages</t>
  </si>
  <si>
    <t>Separation Score (optional)</t>
  </si>
  <si>
    <t>Reported metric used to quantify separation between experimental conditions, clusters or cell populations.</t>
  </si>
  <si>
    <t>Number of Candidate Genes (optional)</t>
  </si>
  <si>
    <t>Total number of marker, switch or other candidate genes identified in the analysis.</t>
  </si>
  <si>
    <t>Key Analysis Method or Threshold (optional)</t>
  </si>
  <si>
    <t>Principal computational method or threshold used to derive the reported downstream-analysis results.</t>
  </si>
  <si>
    <t>Leiden clustering, resolution = 0.8; DE threshold: FDR &lt;0.05</t>
  </si>
  <si>
    <t>Reference Genome (optional)</t>
  </si>
  <si>
    <t>Indicate version and include stable link to genome data (or attach genome fasta file).</t>
  </si>
  <si>
    <t>GRCh38, https://example.org/grch38.fa</t>
  </si>
  <si>
    <t>Genome Annotation (optional)</t>
  </si>
  <si>
    <t>Indicate version and include stable link. Also indicate if any modification to the original annotation has been applied (e.g. 3' UTR extension) and include modified annotation file employed in the analysis.</t>
  </si>
  <si>
    <t>Ensembl v101, https://example.org/ensembl_v101.gtf</t>
  </si>
  <si>
    <t>Annotation Filtering (optional)</t>
  </si>
  <si>
    <t>Indicate which features were filtered (i.e. protein coding, pseudo-genes, TCRs, etc.)</t>
  </si>
  <si>
    <t>Filtered to include only protein-coding genes</t>
  </si>
  <si>
    <t>Genes vs Exons (optional)</t>
  </si>
  <si>
    <t>Quantification using whole gene intervals or exons.</t>
  </si>
  <si>
    <t>Exon quantification</t>
  </si>
  <si>
    <t>Library Structure (optional)</t>
  </si>
  <si>
    <t>seqspec format</t>
  </si>
  <si>
    <t>Single-cell 3' library</t>
  </si>
  <si>
    <t>Mapping and Demultiplexing Software (optional)</t>
  </si>
  <si>
    <t>Reads/UMI</t>
  </si>
  <si>
    <t>Cell Ranger 6.0.0</t>
  </si>
  <si>
    <t>Read Mapping Statistics (optional)</t>
  </si>
  <si>
    <t>Statistics of the Reads or Unique Molecular Identifier (UMI).</t>
  </si>
  <si>
    <t>80% reads mapped to reference</t>
  </si>
  <si>
    <t>Sequencing Saturation (optional)</t>
  </si>
  <si>
    <t>Depending on number of cells recovered (not targeted) and technology</t>
  </si>
  <si>
    <t>95% sequencing saturation</t>
  </si>
  <si>
    <t>UMIs or Barcode Distribution QC (optional)</t>
  </si>
  <si>
    <t>Show Unique Molecular Identifiers (UMIs) per barcode distribution and threshold applied</t>
  </si>
  <si>
    <t>Threshold: 10 UMIs per barcode</t>
  </si>
  <si>
    <t>Cell or Non-Cell Filtering Strategy (optional)</t>
  </si>
  <si>
    <t>Unique Molecular Identifier (UMI) threshold used to discriminate cells from non-cells. Description of algorithm (if any) and parameters used to determine cells or non-cells.</t>
  </si>
  <si>
    <t>Threshold: 5 UMIs for cell detection</t>
  </si>
  <si>
    <t>Other Quality Filters Applied (optional)</t>
  </si>
  <si>
    <t>Cells/nuclei discarded based on % mitochondrial reads, % rRNA reads, etc.</t>
  </si>
  <si>
    <t>Cells with &gt;20% mitochondrial reads discarded</t>
  </si>
  <si>
    <t>Ambient RNA QC (optional)</t>
  </si>
  <si>
    <t>Report % UMIs in background cell barcodes, and algorithm (if any) used to remove ambient RNA</t>
  </si>
  <si>
    <t>Ambient RNA removed if &gt;5% UMIs in background barcodes</t>
  </si>
  <si>
    <t>Predicted Doublet Rate QC (optional)</t>
  </si>
  <si>
    <t>Predicted doublet rate: 1.5%</t>
  </si>
  <si>
    <t>Individual Organism SNP Demultiplexing (optional)</t>
  </si>
  <si>
    <t>If carried out, show SNP partitioning quality (e.g. SNP UMAP embedding or covariance matrix), algorithm used</t>
  </si>
  <si>
    <t>SNP UMAP embedding using CellSNP</t>
  </si>
  <si>
    <t>Clustering Algorithm and Version (optional)</t>
  </si>
  <si>
    <t>If compared/integrated with existing datasets</t>
  </si>
  <si>
    <t>Louvain 0.8.0</t>
  </si>
  <si>
    <t>Clustering Parameters (optional)</t>
  </si>
  <si>
    <t>Resolution: 0.6, K-nearest neighbors: 10</t>
  </si>
  <si>
    <t>Integration/Batch Correction (optional)</t>
  </si>
  <si>
    <t>Harmony v1.0</t>
  </si>
  <si>
    <t>Source Code (optional)</t>
  </si>
  <si>
    <t>If any newly developed code/software has been used in the processing and downstream analysis of the dataset.</t>
  </si>
  <si>
    <t>Source code is hosted on GitHub and includes custom algorithms for UMI count normalization. The repository can be found at: https://github.com/user/umi-normalization.</t>
  </si>
  <si>
    <t>UMI Count Matrix (optional)</t>
  </si>
  <si>
    <t>Gene x cell matrix with UMI counts for each gene in each cell.</t>
  </si>
  <si>
    <t>The UMI count matrix is stored in a CSV file with gene IDs as rows (e.g., ENSG00000139618) and cell barcodes as columns (e.g., Cell_001, Cell_002). The matrix file is available at: https://example.com/umi_count_matrix.csv.</t>
  </si>
  <si>
    <t>Ensembl IDs (optional)</t>
  </si>
  <si>
    <t>Gene or transcript names should be listed as Ensembl (or other standardized ID), with gene short names in metadata.</t>
  </si>
  <si>
    <t>ENSG00000139618</t>
  </si>
  <si>
    <t>Functional Gene Annotations (optional)</t>
  </si>
  <si>
    <t>Any functional annotation generated/used (gene names, GOs, structural domains, etc.).</t>
  </si>
  <si>
    <t>Functional gene annotations, including Gene Ontology (GO) terms, are provided in the metadata. For example, the gene 'ENSG00000139618' (BRCA1) is annotated with the GO term 'GO:0003674' (DNA binding).</t>
  </si>
  <si>
    <t>Protein Models (optional)</t>
  </si>
  <si>
    <t>FASTA file with (or stable link to) the predicted proteins associated to genes in the UMI count matrix and matching IDs.</t>
  </si>
  <si>
    <t>The protein sequences for genes are provided in a FASTA file available at: https://example.com/protein_models.fasta, where each protein sequence is linked to the corresponding gene ID.</t>
  </si>
  <si>
    <t>Cell Metadata (optional)</t>
  </si>
  <si>
    <t>Table mapping cell IDs to cluster/cell type/broad cell type annotations.</t>
  </si>
  <si>
    <t>Cell metadata includes information such as cell type annotations ('Tumor', 'Normal') and experimental conditions ('Control', 'Treatment'). This data is available in a table at: https://example.com/cell_metadata.csv.</t>
  </si>
  <si>
    <t>Cluster-Level Normalised Expression Tables (optional)</t>
  </si>
  <si>
    <t>Expression tables that show normalised gene expression at the cluster or cell-type level.</t>
  </si>
  <si>
    <t>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</si>
  <si>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Other Resource Files (optional)</t>
  </si>
  <si>
    <t>Necessary to re-use and interpret the data. E.g. barcode information in complex, serial multiplexing protocols (clicktags).</t>
  </si>
  <si>
    <t>Barcode information used in multiplexing protocols is provided in a separate file, which can be accessed at: https://example.com/barcode_data.csv.</t>
  </si>
  <si>
    <t>File ID</t>
  </si>
  <si>
    <t xml:space="preserve">A unique alphanumeric identifier for this file </t>
  </si>
  <si>
    <t>Read 1 File</t>
  </si>
  <si>
    <t>The name or accession of the file that contains read 1.</t>
  </si>
  <si>
    <t>file1_r1.fastq.gz</t>
  </si>
  <si>
    <t>Read 2 File (optional)</t>
  </si>
  <si>
    <t>The name or accession of the file that contains read 2.</t>
  </si>
  <si>
    <t>file2_r2.fastq.gz</t>
  </si>
  <si>
    <t>Index 1 File (optional)</t>
  </si>
  <si>
    <t>The name of the file that contains index 1.</t>
  </si>
  <si>
    <t>file1_i1.fastq.gz</t>
  </si>
  <si>
    <t>Index 2 File (optional)</t>
  </si>
  <si>
    <t>The name of the file that contains index 2.</t>
  </si>
  <si>
    <t>file2_i2.fastq.gz</t>
  </si>
  <si>
    <t>Read 1 Checksum</t>
  </si>
  <si>
    <t>Result of a hash function calculated on the content of the read 1 file  to verify file integrity. Commonly used algorithms include MD5 and SHA-1. The checksums should be separated by a comma (,).</t>
  </si>
  <si>
    <t>f8d29e41a73b5c02de9a6fb314e7c8ad</t>
  </si>
  <si>
    <t>Read 2 Checksum (optional)</t>
  </si>
  <si>
    <t>Result of a hash function calculated on the content of the read 2 file  to verify file integrity. Commonly used algorithms include MD5 and SHA-1. The checksums should be separated by a comma (,).</t>
  </si>
  <si>
    <t>a3f4c1b29d8e57fa41b02de6c7f9ab83</t>
  </si>
  <si>
    <t>White List Barcode File (optional)</t>
  </si>
  <si>
    <t>A file containing the known cell barcodes in the
dataset.</t>
  </si>
  <si>
    <t>barcodes.tsv</t>
  </si>
  <si>
    <t>Expression Data Process Setting ID</t>
  </si>
  <si>
    <t>A unique alphanumeric identifier for the expression data process setting</t>
  </si>
  <si>
    <t>EXPSET001</t>
  </si>
  <si>
    <t>Matrix Type  (optional)</t>
  </si>
  <si>
    <t xml:space="preserve">Matrix Type </t>
  </si>
  <si>
    <t>raw_counts</t>
  </si>
  <si>
    <t>Reference Genome</t>
  </si>
  <si>
    <t>The associated reference genome</t>
  </si>
  <si>
    <t>https://reference-genome-example.com</t>
  </si>
  <si>
    <t>Annotation Version (optional)</t>
  </si>
  <si>
    <t>The annotation version of the associated reference genome</t>
  </si>
  <si>
    <t>GENCODE v44</t>
  </si>
  <si>
    <t>Normalisation Method (optional)</t>
  </si>
  <si>
    <t>Any normalisation processing performed</t>
  </si>
  <si>
    <t>Log normalisation</t>
  </si>
  <si>
    <t>Highly Variable Gene Selection (HVG) (optional)</t>
  </si>
  <si>
    <t>Number of Highly Variable Genes</t>
  </si>
  <si>
    <t>seurat_v3, n=2000</t>
  </si>
  <si>
    <t>Dimensionality Reduction (optional)</t>
  </si>
  <si>
    <t>Method used to reduce dimensionality in the expression data</t>
  </si>
  <si>
    <t>PCA</t>
  </si>
  <si>
    <t>Number of Nearest Neighbours (optional)</t>
  </si>
  <si>
    <t>Number of nearest neighbours used to calculate cluster membership</t>
  </si>
  <si>
    <t>pca:50</t>
  </si>
  <si>
    <t>Clustering Algorithm (optional)</t>
  </si>
  <si>
    <t>Algorithm used to create clusters</t>
  </si>
  <si>
    <t>Clustering  Resolution (optional)</t>
  </si>
  <si>
    <t xml:space="preserve">Resolution parameter </t>
  </si>
  <si>
    <t>Clustering Distance Metric (optional)</t>
  </si>
  <si>
    <t>Metic used to calculate a points distance to others</t>
  </si>
  <si>
    <t>cosine</t>
  </si>
  <si>
    <t>Software Versions (optional)</t>
  </si>
  <si>
    <t>Primary software packages used for analysis</t>
  </si>
  <si>
    <t>Cell Type Annotation (optional)</t>
  </si>
  <si>
    <t>Tools and Databases used for cell annotation</t>
  </si>
  <si>
    <t>Generated by Pipeline (optional)</t>
  </si>
  <si>
    <t>URL of the deposited pipeline used to create this data</t>
  </si>
  <si>
    <t>Notes (optional)</t>
  </si>
  <si>
    <t>Any other information</t>
  </si>
  <si>
    <t>A unique alphanumeric identifier for the expression data file</t>
  </si>
  <si>
    <t>EXPFILE001</t>
  </si>
  <si>
    <t>A unique alphanumeric identifier for library preparation</t>
  </si>
  <si>
    <t>File Name</t>
  </si>
  <si>
    <t>Expression data file name</t>
  </si>
  <si>
    <t>exp_file.csv</t>
  </si>
  <si>
    <t>File md5  Checkshum</t>
  </si>
  <si>
    <t>calculated md5 checksum for this file</t>
  </si>
  <si>
    <t>9e4b7a23f6c1d0ab85f29c47e3d8a610</t>
  </si>
  <si>
    <t>File Format</t>
  </si>
  <si>
    <t>The format of the expression file, such as h5ad or rds</t>
  </si>
  <si>
    <t>csv</t>
  </si>
  <si>
    <t>Number of Cells (optional)</t>
  </si>
  <si>
    <t>The number of cells represented in the expression data</t>
  </si>
  <si>
    <t>Number of Genes (optional)</t>
  </si>
  <si>
    <t>The number of genese represented in the expression data</t>
  </si>
  <si>
    <t>File Size in Bytes (optional)</t>
  </si>
  <si>
    <t>Size of the file recorded in bytes</t>
  </si>
  <si>
    <t>Date Generated (optional)</t>
  </si>
  <si>
    <t>Approximate date this expression data was generated</t>
  </si>
  <si>
    <t>2024-10-14</t>
  </si>
  <si>
    <t>STUDY004</t>
  </si>
  <si>
    <t>animal zygote</t>
  </si>
  <si>
    <t>https://purification-protocol.com</t>
  </si>
  <si>
    <t>plate123</t>
  </si>
  <si>
    <t>2025-10-06</t>
  </si>
  <si>
    <t>https://pool-creation-protcol.com</t>
  </si>
  <si>
    <t>single_cell_analysis_derived_from_file4.json</t>
  </si>
  <si>
    <t>single_cell_read1_4.fastq.gz</t>
  </si>
  <si>
    <t>single_cell_index1_4.fastq.gz</t>
  </si>
  <si>
    <t>single_cell_index2_4.fastq.gz</t>
  </si>
  <si>
    <t>single_cell_read2_4.fastq.gz</t>
  </si>
  <si>
    <t>single_cell_white_list_barcode_file4.tsv</t>
  </si>
  <si>
    <t>Log Normalisation</t>
  </si>
  <si>
    <t>seurat_v3, n=2000 (or none)</t>
  </si>
  <si>
    <t>pca:50, mnn:30 …</t>
  </si>
  <si>
    <t>genome software</t>
  </si>
  <si>
    <t>annotation tool</t>
  </si>
  <si>
    <t>https://annotation-pipeline.com</t>
  </si>
  <si>
    <t>more will follow</t>
  </si>
  <si>
    <t>single_cell_expression_data_file4.h5ad</t>
  </si>
  <si>
    <t>h5ad</t>
  </si>
  <si>
    <t>3181f0f98825ca11a47185e9d534a2b7</t>
  </si>
  <si>
    <t>eb3baea9e6df8b033dbe0495765286ce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</si>
</sst>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u/>
      <sz val="11"/>
      <color theme="10"/>
      <name val="Calibri"/>
      <family val="2"/>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49" fontId="0" fillId="0" borderId="0" xfId="0" applyNumberFormat="1" applyAlignment="1">
      <alignment vertical="top" wrapText="1"/>
    </xf>
    <xf numFmtId="0" fontId="1" fillId="2" borderId="0" xfId="0" applyFont="1" applyFill="1" applyAlignment="1">
      <alignment horizontal="left" vertical="center"/>
    </xf>
    <xf numFmtId="0" fontId="0" fillId="0" borderId="0" xfId="0" applyAlignment="1" applyProtection="1">
      <alignment vertical="top" wrapText="1"/>
      <protection locked="0"/>
    </xf>
    <xf numFmtId="164" fontId="0" fillId="3" borderId="0" xfId="0" applyNumberFormat="1" applyFill="1" applyAlignment="1">
      <alignment vertical="top"/>
    </xf>
    <xf numFmtId="0" fontId="2" fillId="0" borderId="0" xfId="1" applyAlignment="1" applyProtection="1"/>
  </cellXfs>
  <cellStyles count="2">
    <cellStyle name="Hyperlink" xfId="1" builtinId="8"/>
    <cellStyle name="Normal" xfId="0" builtinId="0"/>
  </cellStyles>
  <dxfs count="54">
    <dxf>
      <font>
        <b/>
      </font>
      <fill>
        <patternFill>
          <bgColor rgb="FFB5EAAA"/>
        </patternFill>
      </fill>
    </dxf>
    <dxf>
      <font>
        <i/>
        <color rgb="FF808080"/>
      </font>
    </dxf>
    <dxf>
      <font>
        <b/>
      </font>
    </dxf>
    <dxf>
      <font>
        <b/>
      </font>
    </dxf>
    <dxf>
      <font>
        <b/>
      </font>
      <fill>
        <patternFill>
          <bgColor rgb="FFB5EAAA"/>
        </patternFill>
      </fill>
    </dxf>
    <dxf>
      <font>
        <i/>
        <color rgb="FF808080"/>
      </font>
    </dxf>
    <dxf>
      <font>
        <b/>
      </font>
    </dxf>
    <dxf>
      <font>
        <b/>
      </font>
    </dxf>
    <dxf>
      <font>
        <b/>
      </font>
      <fill>
        <patternFill>
          <bgColor rgb="FFB5EAAA"/>
        </patternFill>
      </fill>
    </dxf>
    <dxf>
      <font>
        <i/>
        <color rgb="FF808080"/>
      </font>
    </dxf>
    <dxf>
      <font>
        <b/>
      </font>
    </dxf>
    <dxf>
      <font>
        <b/>
      </font>
      <fill>
        <patternFill>
          <bgColor rgb="FFB5EAAA"/>
        </patternFill>
      </fill>
    </dxf>
    <dxf>
      <font>
        <i/>
        <color rgb="FF808080"/>
      </font>
    </dxf>
    <dxf>
      <font>
        <b/>
      </font>
      <fill>
        <patternFill>
          <bgColor rgb="FFB5EAAA"/>
        </patternFill>
      </fill>
    </dxf>
    <dxf>
      <font>
        <i/>
        <color rgb="FF808080"/>
      </font>
    </dxf>
    <dxf>
      <font>
        <b/>
      </font>
    </dxf>
    <dxf>
      <font>
        <b/>
      </font>
      <fill>
        <patternFill>
          <bgColor rgb="FFB5EAAA"/>
        </patternFill>
      </fill>
    </dxf>
    <dxf>
      <font>
        <i/>
        <color rgb="FF808080"/>
      </font>
    </dxf>
    <dxf>
      <font>
        <b/>
      </font>
    </dxf>
    <dxf>
      <font>
        <b/>
      </font>
      <fill>
        <patternFill>
          <bgColor rgb="FFB5EAAA"/>
        </patternFill>
      </fill>
    </dxf>
    <dxf>
      <font>
        <i/>
        <color rgb="FF808080"/>
      </font>
    </dxf>
    <dxf>
      <font>
        <b/>
      </font>
    </dxf>
    <dxf>
      <font>
        <b/>
      </font>
    </dxf>
    <dxf>
      <font>
        <b/>
      </font>
      <fill>
        <patternFill>
          <bgColor rgb="FFB5EAAA"/>
        </patternFill>
      </fill>
    </dxf>
    <dxf>
      <font>
        <i/>
        <color rgb="FF808080"/>
      </font>
    </dxf>
    <dxf>
      <font>
        <b/>
      </font>
    </dxf>
    <dxf>
      <font>
        <b/>
      </font>
    </dxf>
    <dxf>
      <font>
        <b/>
      </font>
    </dxf>
    <dxf>
      <font>
        <b/>
      </font>
    </dxf>
    <dxf>
      <font>
        <b/>
      </font>
      <fill>
        <patternFill>
          <bgColor rgb="FFB5EAAA"/>
        </patternFill>
      </fill>
    </dxf>
    <dxf>
      <font>
        <i/>
        <color rgb="FF808080"/>
      </font>
    </dxf>
    <dxf>
      <font>
        <b/>
      </font>
    </dxf>
    <dxf>
      <font>
        <b/>
      </font>
    </dxf>
    <dxf>
      <font>
        <b/>
      </font>
      <fill>
        <patternFill>
          <bgColor rgb="FFB5EAAA"/>
        </patternFill>
      </fill>
    </dxf>
    <dxf>
      <font>
        <i/>
        <color rgb="FF808080"/>
      </font>
    </dxf>
    <dxf>
      <font>
        <b/>
      </font>
    </dxf>
    <dxf>
      <font>
        <b/>
      </font>
    </dxf>
    <dxf>
      <font>
        <b/>
      </font>
    </dxf>
    <dxf>
      <font>
        <b/>
      </font>
      <fill>
        <patternFill>
          <bgColor rgb="FFB5EAAA"/>
        </patternFill>
      </fill>
    </dxf>
    <dxf>
      <font>
        <i/>
        <color rgb="FF808080"/>
      </font>
    </dxf>
    <dxf>
      <font>
        <b/>
      </font>
    </dxf>
    <dxf>
      <font>
        <b/>
      </font>
    </dxf>
    <dxf>
      <font>
        <b/>
      </font>
      <fill>
        <patternFill>
          <bgColor rgb="FFB5EAAA"/>
        </patternFill>
      </fill>
    </dxf>
    <dxf>
      <font>
        <i/>
        <color rgb="FF808080"/>
      </font>
    </dxf>
    <dxf>
      <font>
        <b/>
      </font>
    </dxf>
    <dxf>
      <font>
        <b/>
      </font>
    </dxf>
    <dxf>
      <font>
        <b/>
      </font>
    </dxf>
    <dxf>
      <font>
        <b/>
      </font>
      <fill>
        <patternFill>
          <bgColor rgb="FFB5EAAA"/>
        </patternFill>
      </fill>
    </dxf>
    <dxf>
      <font>
        <i/>
        <color rgb="FF808080"/>
      </font>
    </dxf>
    <dxf>
      <font>
        <b/>
      </font>
    </dxf>
    <dxf>
      <font>
        <b/>
      </font>
    </dxf>
    <dxf>
      <font>
        <b/>
      </font>
      <fill>
        <patternFill>
          <bgColor rgb="FFB5EAAA"/>
        </patternFill>
      </fill>
    </dxf>
    <dxf>
      <font>
        <i/>
        <color rgb="FF808080"/>
      </font>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workflowhub.eu/works/12345" TargetMode="External"/><Relationship Id="rId2" Type="http://schemas.openxmlformats.org/officeDocument/2006/relationships/hyperlink" Target="https://api.faang.org/files/protocols/samples/INRAE_SOP_PLUS4PIGS_EMBRYOS_DISSOCIATION_PROTO4_20240710.pdf" TargetMode="External"/><Relationship Id="rId1" Type="http://schemas.openxmlformats.org/officeDocument/2006/relationships/hyperlink" Target="https://www.protocols.io/view/sample-protocol-b2ubqesn"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reference-genome-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4"/>
  <sheetViews>
    <sheetView workbookViewId="0">
      <selection activeCell="A5" sqref="A5:F5"/>
    </sheetView>
  </sheetViews>
  <sheetFormatPr baseColWidth="10" defaultColWidth="8.83203125" defaultRowHeight="15" x14ac:dyDescent="0.2"/>
  <cols>
    <col min="1" max="1" width="47.6640625" style="1" customWidth="1"/>
    <col min="2" max="2" width="70.6640625" style="1" customWidth="1"/>
    <col min="3" max="3" width="37.6640625" style="1" customWidth="1"/>
    <col min="4" max="4" width="34.6640625" style="1" customWidth="1"/>
    <col min="5" max="6" width="70.6640625" style="1" customWidth="1"/>
  </cols>
  <sheetData>
    <row r="1" spans="1:6" ht="16" x14ac:dyDescent="0.2">
      <c r="A1" s="1" t="s">
        <v>0</v>
      </c>
      <c r="B1" s="1" t="s">
        <v>3</v>
      </c>
      <c r="C1" s="1" t="s">
        <v>6</v>
      </c>
      <c r="D1" s="1" t="s">
        <v>9</v>
      </c>
      <c r="E1" s="1" t="s">
        <v>12</v>
      </c>
      <c r="F1" s="1" t="s">
        <v>15</v>
      </c>
    </row>
    <row r="2" spans="1:6" ht="64" x14ac:dyDescent="0.2">
      <c r="A2" s="1" t="s">
        <v>1</v>
      </c>
      <c r="B2" s="1" t="s">
        <v>4</v>
      </c>
      <c r="C2" s="1" t="s">
        <v>7</v>
      </c>
      <c r="D2" s="1" t="s">
        <v>10</v>
      </c>
      <c r="E2" s="1" t="s">
        <v>13</v>
      </c>
      <c r="F2" s="1" t="s">
        <v>16</v>
      </c>
    </row>
    <row r="3" spans="1:6" ht="80" x14ac:dyDescent="0.2">
      <c r="A3" s="1" t="s">
        <v>2</v>
      </c>
      <c r="B3" s="1" t="s">
        <v>5</v>
      </c>
      <c r="C3" s="1" t="s">
        <v>8</v>
      </c>
      <c r="D3" s="1" t="s">
        <v>11</v>
      </c>
      <c r="E3" s="1" t="s">
        <v>14</v>
      </c>
      <c r="F3" s="1" t="s">
        <v>17</v>
      </c>
    </row>
    <row r="4" spans="1:6" x14ac:dyDescent="0.2">
      <c r="A4" s="2" t="s">
        <v>18</v>
      </c>
    </row>
    <row r="5" spans="1:6" s="3" customFormat="1" ht="80" x14ac:dyDescent="0.2">
      <c r="A5" s="3" t="s">
        <v>579</v>
      </c>
      <c r="B5" s="3" t="s">
        <v>5</v>
      </c>
      <c r="C5" s="3" t="s">
        <v>8</v>
      </c>
      <c r="D5" s="3" t="s">
        <v>11</v>
      </c>
      <c r="E5" s="3" t="s">
        <v>14</v>
      </c>
      <c r="F5" s="3" t="s">
        <v>17</v>
      </c>
    </row>
    <row r="6" spans="1:6" s="3" customFormat="1" x14ac:dyDescent="0.2"/>
    <row r="7" spans="1:6" s="3" customFormat="1" x14ac:dyDescent="0.2"/>
    <row r="8" spans="1:6" s="3" customFormat="1" x14ac:dyDescent="0.2"/>
    <row r="9" spans="1:6" s="3" customFormat="1" x14ac:dyDescent="0.2"/>
    <row r="10" spans="1:6" s="3" customFormat="1" x14ac:dyDescent="0.2"/>
    <row r="11" spans="1:6" s="3" customFormat="1" x14ac:dyDescent="0.2"/>
    <row r="12" spans="1:6" s="3" customFormat="1" x14ac:dyDescent="0.2"/>
    <row r="13" spans="1:6" s="3" customFormat="1" x14ac:dyDescent="0.2"/>
    <row r="14" spans="1:6" s="3" customFormat="1" x14ac:dyDescent="0.2"/>
    <row r="15" spans="1:6" s="3" customFormat="1" x14ac:dyDescent="0.2"/>
    <row r="16" spans="1:6" s="3" customFormat="1" x14ac:dyDescent="0.2"/>
    <row r="17" s="3" customFormat="1" x14ac:dyDescent="0.2"/>
    <row r="18" s="3" customFormat="1" x14ac:dyDescent="0.2"/>
    <row r="19" s="3" customFormat="1" x14ac:dyDescent="0.2"/>
    <row r="20" s="3" customFormat="1" x14ac:dyDescent="0.2"/>
    <row r="21" s="3" customFormat="1" x14ac:dyDescent="0.2"/>
    <row r="22" s="3" customFormat="1" x14ac:dyDescent="0.2"/>
    <row r="23" s="3" customFormat="1" x14ac:dyDescent="0.2"/>
    <row r="24" s="3" customFormat="1" x14ac:dyDescent="0.2"/>
    <row r="25" s="3" customFormat="1" x14ac:dyDescent="0.2"/>
    <row r="26" s="3" customFormat="1" x14ac:dyDescent="0.2"/>
    <row r="27" s="3" customFormat="1" x14ac:dyDescent="0.2"/>
    <row r="28" s="3" customFormat="1" x14ac:dyDescent="0.2"/>
    <row r="29" s="3" customFormat="1" x14ac:dyDescent="0.2"/>
    <row r="30" s="3" customFormat="1" x14ac:dyDescent="0.2"/>
    <row r="31" s="3" customFormat="1" x14ac:dyDescent="0.2"/>
    <row r="32" s="3" customFormat="1" x14ac:dyDescent="0.2"/>
    <row r="33" s="3" customFormat="1" x14ac:dyDescent="0.2"/>
    <row r="34" s="3" customFormat="1" x14ac:dyDescent="0.2"/>
    <row r="35" s="3" customFormat="1" x14ac:dyDescent="0.2"/>
    <row r="36" s="3" customFormat="1" x14ac:dyDescent="0.2"/>
    <row r="37" s="3" customFormat="1" x14ac:dyDescent="0.2"/>
    <row r="38" s="3" customFormat="1" x14ac:dyDescent="0.2"/>
    <row r="39" s="3" customFormat="1" x14ac:dyDescent="0.2"/>
    <row r="40" s="3" customFormat="1" x14ac:dyDescent="0.2"/>
    <row r="41" s="3" customFormat="1" x14ac:dyDescent="0.2"/>
    <row r="42" s="3" customFormat="1" x14ac:dyDescent="0.2"/>
    <row r="43" s="3" customFormat="1" x14ac:dyDescent="0.2"/>
    <row r="44" s="3" customFormat="1" x14ac:dyDescent="0.2"/>
    <row r="45" s="3" customFormat="1" x14ac:dyDescent="0.2"/>
    <row r="46" s="3" customFormat="1" x14ac:dyDescent="0.2"/>
    <row r="47" s="3" customFormat="1" x14ac:dyDescent="0.2"/>
    <row r="48" s="3" customFormat="1" x14ac:dyDescent="0.2"/>
    <row r="49" s="3" customFormat="1" x14ac:dyDescent="0.2"/>
    <row r="50" s="3" customFormat="1" x14ac:dyDescent="0.2"/>
    <row r="51" s="3" customFormat="1" x14ac:dyDescent="0.2"/>
    <row r="52" s="3" customFormat="1" x14ac:dyDescent="0.2"/>
    <row r="53" s="3" customFormat="1" x14ac:dyDescent="0.2"/>
    <row r="54" s="3" customFormat="1" x14ac:dyDescent="0.2"/>
    <row r="55" s="3" customFormat="1" x14ac:dyDescent="0.2"/>
    <row r="56" s="3" customFormat="1" x14ac:dyDescent="0.2"/>
    <row r="57" s="3" customFormat="1" x14ac:dyDescent="0.2"/>
    <row r="58" s="3" customFormat="1" x14ac:dyDescent="0.2"/>
    <row r="59" s="3" customFormat="1" x14ac:dyDescent="0.2"/>
    <row r="60" s="3" customFormat="1" x14ac:dyDescent="0.2"/>
    <row r="61" s="3" customFormat="1" x14ac:dyDescent="0.2"/>
    <row r="62" s="3" customFormat="1" x14ac:dyDescent="0.2"/>
    <row r="63" s="3" customFormat="1" x14ac:dyDescent="0.2"/>
    <row r="64" s="3" customFormat="1" x14ac:dyDescent="0.2"/>
    <row r="65" s="3" customFormat="1" x14ac:dyDescent="0.2"/>
    <row r="66" s="3" customFormat="1" x14ac:dyDescent="0.2"/>
    <row r="67" s="3" customFormat="1" x14ac:dyDescent="0.2"/>
    <row r="68" s="3" customFormat="1" x14ac:dyDescent="0.2"/>
    <row r="69" s="3" customFormat="1" x14ac:dyDescent="0.2"/>
    <row r="70" s="3" customFormat="1" x14ac:dyDescent="0.2"/>
    <row r="71" s="3" customFormat="1" x14ac:dyDescent="0.2"/>
    <row r="72" s="3" customFormat="1" x14ac:dyDescent="0.2"/>
    <row r="73" s="3" customFormat="1" x14ac:dyDescent="0.2"/>
    <row r="74" s="3" customFormat="1" x14ac:dyDescent="0.2"/>
    <row r="75" s="3" customFormat="1" x14ac:dyDescent="0.2"/>
    <row r="76" s="3" customFormat="1" x14ac:dyDescent="0.2"/>
    <row r="77" s="3" customFormat="1" x14ac:dyDescent="0.2"/>
    <row r="78" s="3" customFormat="1" x14ac:dyDescent="0.2"/>
    <row r="79" s="3" customFormat="1" x14ac:dyDescent="0.2"/>
    <row r="80" s="3" customFormat="1" x14ac:dyDescent="0.2"/>
    <row r="81" s="3" customFormat="1" x14ac:dyDescent="0.2"/>
    <row r="82" s="3" customFormat="1" x14ac:dyDescent="0.2"/>
    <row r="83" s="3" customFormat="1" x14ac:dyDescent="0.2"/>
    <row r="84" s="3" customFormat="1" x14ac:dyDescent="0.2"/>
    <row r="85" s="3" customFormat="1" x14ac:dyDescent="0.2"/>
    <row r="86" s="3" customFormat="1" x14ac:dyDescent="0.2"/>
    <row r="87" s="3" customFormat="1" x14ac:dyDescent="0.2"/>
    <row r="88" s="3" customFormat="1" x14ac:dyDescent="0.2"/>
    <row r="89" s="3" customFormat="1" x14ac:dyDescent="0.2"/>
    <row r="90" s="3" customFormat="1" x14ac:dyDescent="0.2"/>
    <row r="91" s="3" customFormat="1" x14ac:dyDescent="0.2"/>
    <row r="92" s="3" customFormat="1" x14ac:dyDescent="0.2"/>
    <row r="93" s="3" customFormat="1" x14ac:dyDescent="0.2"/>
    <row r="94" s="3" customFormat="1" x14ac:dyDescent="0.2"/>
    <row r="95" s="3" customFormat="1" x14ac:dyDescent="0.2"/>
    <row r="96" s="3" customFormat="1" x14ac:dyDescent="0.2"/>
    <row r="97" s="3" customFormat="1" x14ac:dyDescent="0.2"/>
    <row r="98" s="3" customFormat="1" x14ac:dyDescent="0.2"/>
    <row r="99" s="3" customFormat="1" x14ac:dyDescent="0.2"/>
    <row r="100" s="3" customFormat="1" x14ac:dyDescent="0.2"/>
    <row r="101" s="3" customFormat="1" x14ac:dyDescent="0.2"/>
    <row r="102" s="3" customFormat="1" x14ac:dyDescent="0.2"/>
    <row r="103" s="3" customFormat="1" x14ac:dyDescent="0.2"/>
    <row r="104" s="3" customFormat="1" x14ac:dyDescent="0.2"/>
    <row r="105" s="3" customFormat="1" x14ac:dyDescent="0.2"/>
    <row r="106" s="3" customFormat="1" x14ac:dyDescent="0.2"/>
    <row r="107" s="3" customFormat="1" x14ac:dyDescent="0.2"/>
    <row r="108" s="3" customFormat="1" x14ac:dyDescent="0.2"/>
    <row r="109" s="3" customFormat="1" x14ac:dyDescent="0.2"/>
    <row r="110" s="3" customFormat="1" x14ac:dyDescent="0.2"/>
    <row r="111" s="3" customFormat="1" x14ac:dyDescent="0.2"/>
    <row r="112"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1">
    <cfRule type="notContainsErrors" dxfId="53" priority="1">
      <formula>NOT(ISERROR(A1))</formula>
    </cfRule>
  </conditionalFormatting>
  <conditionalFormatting sqref="A2:F3">
    <cfRule type="notContainsErrors" dxfId="52" priority="6">
      <formula>NOT(ISERROR(A2))</formula>
    </cfRule>
  </conditionalFormatting>
  <conditionalFormatting sqref="A4:F4">
    <cfRule type="notContainsErrors" dxfId="51" priority="5">
      <formula>NOT(ISERROR(A4))</formula>
    </cfRule>
  </conditionalFormatting>
  <conditionalFormatting sqref="C1:E1">
    <cfRule type="notContainsErrors" dxfId="50" priority="2">
      <formula>NOT(ISERROR(C1))</formula>
    </cfRule>
  </conditionalFormatting>
  <dataValidations count="3">
    <dataValidation type="list" allowBlank="1" showInputMessage="1" showErrorMessage="1" sqref="C5:C1048576" xr:uid="{00000000-0002-0000-0000-000000000000}">
      <formula1>"Cell culture,Cell line,Cell specimen,Organism,Organoid,Pool of Specimens,Single cell specimen,Specimen from Organism"</formula1>
    </dataValidation>
    <dataValidation type="list" allowBlank="1" showInputMessage="1" showErrorMessage="1" sqref="E5:E1048576" xr:uid="{00000000-0002-0000-0000-000001000000}">
      <formula1>"Bead-based sorting,Cell culture,Centrifugation,Fluorescence-activated Cell Sorting (FACS),Magnetic levitation,Raman-spectometry sorting, cell culture"</formula1>
    </dataValidation>
    <dataValidation type="list" allowBlank="1" showInputMessage="1" showErrorMessage="1" sqref="F5:F1048576" xr:uid="{00000000-0002-0000-0000-000002000000}">
      <formula1>"Apache-2.0,CC-BY-4.0,CC-BY-SA-4.0,CC0-1.0,GPL-3.0-or-later,MIT"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4"/>
  <sheetViews>
    <sheetView workbookViewId="0">
      <selection activeCell="C14" sqref="C14"/>
    </sheetView>
  </sheetViews>
  <sheetFormatPr baseColWidth="10" defaultColWidth="8.83203125" defaultRowHeight="15" x14ac:dyDescent="0.2"/>
  <cols>
    <col min="1" max="1" width="47.6640625" style="1" customWidth="1"/>
    <col min="2" max="2" width="53.6640625" style="1" customWidth="1"/>
    <col min="3" max="5" width="70.6640625" style="1" customWidth="1"/>
    <col min="6" max="6" width="67.6640625" style="1" customWidth="1"/>
    <col min="7" max="8" width="70.6640625" style="1" customWidth="1"/>
  </cols>
  <sheetData>
    <row r="1" spans="1:8" ht="16" x14ac:dyDescent="0.2">
      <c r="A1" s="1" t="s">
        <v>0</v>
      </c>
      <c r="B1" s="1" t="s">
        <v>19</v>
      </c>
      <c r="C1" s="1" t="s">
        <v>22</v>
      </c>
      <c r="D1" s="1" t="s">
        <v>25</v>
      </c>
      <c r="E1" s="1" t="s">
        <v>28</v>
      </c>
      <c r="F1" s="1" t="s">
        <v>31</v>
      </c>
      <c r="G1" s="1" t="s">
        <v>34</v>
      </c>
      <c r="H1" s="1" t="s">
        <v>37</v>
      </c>
    </row>
    <row r="2" spans="1:8" ht="32" x14ac:dyDescent="0.2">
      <c r="A2" s="1" t="s">
        <v>1</v>
      </c>
      <c r="B2" s="1" t="s">
        <v>20</v>
      </c>
      <c r="C2" s="1" t="s">
        <v>23</v>
      </c>
      <c r="D2" s="1" t="s">
        <v>26</v>
      </c>
      <c r="E2" s="1" t="s">
        <v>29</v>
      </c>
      <c r="F2" s="1" t="s">
        <v>32</v>
      </c>
      <c r="G2" s="1" t="s">
        <v>35</v>
      </c>
      <c r="H2" s="1" t="s">
        <v>38</v>
      </c>
    </row>
    <row r="3" spans="1:8" ht="16" x14ac:dyDescent="0.2">
      <c r="A3" s="1" t="s">
        <v>2</v>
      </c>
      <c r="B3" s="1" t="s">
        <v>21</v>
      </c>
      <c r="C3" s="1" t="s">
        <v>24</v>
      </c>
      <c r="D3" s="1" t="s">
        <v>27</v>
      </c>
      <c r="E3" s="1" t="s">
        <v>30</v>
      </c>
      <c r="F3" s="1" t="s">
        <v>33</v>
      </c>
      <c r="G3" s="1" t="s">
        <v>36</v>
      </c>
      <c r="H3" s="1" t="s">
        <v>39</v>
      </c>
    </row>
    <row r="4" spans="1:8" x14ac:dyDescent="0.2">
      <c r="A4" s="2" t="s">
        <v>18</v>
      </c>
    </row>
    <row r="5" spans="1:8" s="3" customFormat="1" ht="16" x14ac:dyDescent="0.2">
      <c r="A5" s="4" t="str">
        <f t="array" ref="A5:A100">IF(ISBLANK(C5:C100)*ISBLANK(D5:D100)*ISBLANK(E5:E100)*ISBLANK(F5:F100), "", IF(study!$A$5 &lt;&gt; "", study!$A$5, "" ))</f>
        <v>STUDY004</v>
      </c>
      <c r="B5" s="3" t="s">
        <v>21</v>
      </c>
      <c r="C5" s="3" t="s">
        <v>24</v>
      </c>
      <c r="D5" s="3" t="s">
        <v>27</v>
      </c>
      <c r="E5" s="3" t="s">
        <v>30</v>
      </c>
      <c r="F5" s="3" t="s">
        <v>33</v>
      </c>
      <c r="G5" s="3" t="s">
        <v>36</v>
      </c>
      <c r="H5" s="3" t="s">
        <v>39</v>
      </c>
    </row>
    <row r="6" spans="1:8" s="3" customFormat="1" x14ac:dyDescent="0.2">
      <c r="A6" s="4" t="str">
        <v/>
      </c>
    </row>
    <row r="7" spans="1:8" s="3" customFormat="1" x14ac:dyDescent="0.2">
      <c r="A7" s="4" t="str">
        <v/>
      </c>
    </row>
    <row r="8" spans="1:8" s="3" customFormat="1" x14ac:dyDescent="0.2">
      <c r="A8" s="4" t="str">
        <v/>
      </c>
    </row>
    <row r="9" spans="1:8" s="3" customFormat="1" x14ac:dyDescent="0.2">
      <c r="A9" s="4" t="str">
        <v/>
      </c>
    </row>
    <row r="10" spans="1:8" s="3" customFormat="1" x14ac:dyDescent="0.2">
      <c r="A10" s="4" t="str">
        <v/>
      </c>
    </row>
    <row r="11" spans="1:8" s="3" customFormat="1" x14ac:dyDescent="0.2">
      <c r="A11" s="4" t="str">
        <v/>
      </c>
    </row>
    <row r="12" spans="1:8" s="3" customFormat="1" x14ac:dyDescent="0.2">
      <c r="A12" s="4" t="str">
        <v/>
      </c>
    </row>
    <row r="13" spans="1:8" s="3" customFormat="1" x14ac:dyDescent="0.2">
      <c r="A13" s="4" t="str">
        <v/>
      </c>
    </row>
    <row r="14" spans="1:8" s="3" customFormat="1" x14ac:dyDescent="0.2">
      <c r="A14" s="4" t="str">
        <v/>
      </c>
    </row>
    <row r="15" spans="1:8" s="3" customFormat="1" x14ac:dyDescent="0.2">
      <c r="A15" s="4" t="str">
        <v/>
      </c>
    </row>
    <row r="16" spans="1:8" s="3" customFormat="1" x14ac:dyDescent="0.2">
      <c r="A16" s="4" t="str">
        <v/>
      </c>
    </row>
    <row r="17" spans="1:1" s="3" customFormat="1" x14ac:dyDescent="0.2">
      <c r="A17" s="4" t="str">
        <v/>
      </c>
    </row>
    <row r="18" spans="1:1" s="3" customFormat="1" x14ac:dyDescent="0.2">
      <c r="A18" s="4" t="str">
        <v/>
      </c>
    </row>
    <row r="19" spans="1:1" s="3" customFormat="1" x14ac:dyDescent="0.2">
      <c r="A19" s="4" t="str">
        <v/>
      </c>
    </row>
    <row r="20" spans="1:1" s="3" customFormat="1" x14ac:dyDescent="0.2">
      <c r="A20" s="4" t="str">
        <v/>
      </c>
    </row>
    <row r="21" spans="1:1" s="3" customFormat="1" x14ac:dyDescent="0.2">
      <c r="A21" s="4" t="str">
        <v/>
      </c>
    </row>
    <row r="22" spans="1:1" s="3" customFormat="1" x14ac:dyDescent="0.2">
      <c r="A22" s="4" t="str">
        <v/>
      </c>
    </row>
    <row r="23" spans="1:1" s="3" customFormat="1" x14ac:dyDescent="0.2">
      <c r="A23" s="4" t="str">
        <v/>
      </c>
    </row>
    <row r="24" spans="1:1" s="3" customFormat="1" x14ac:dyDescent="0.2">
      <c r="A24" s="4" t="str">
        <v/>
      </c>
    </row>
    <row r="25" spans="1:1" s="3" customFormat="1" x14ac:dyDescent="0.2">
      <c r="A25" s="4" t="str">
        <v/>
      </c>
    </row>
    <row r="26" spans="1:1" s="3" customFormat="1" x14ac:dyDescent="0.2">
      <c r="A26" s="4" t="str">
        <v/>
      </c>
    </row>
    <row r="27" spans="1:1" s="3" customFormat="1" x14ac:dyDescent="0.2">
      <c r="A27" s="4" t="str">
        <v/>
      </c>
    </row>
    <row r="28" spans="1:1" s="3" customFormat="1" x14ac:dyDescent="0.2">
      <c r="A28" s="4" t="str">
        <v/>
      </c>
    </row>
    <row r="29" spans="1:1" s="3" customFormat="1" x14ac:dyDescent="0.2">
      <c r="A29" s="4" t="str">
        <v/>
      </c>
    </row>
    <row r="30" spans="1:1" s="3" customFormat="1" x14ac:dyDescent="0.2">
      <c r="A30" s="4" t="str">
        <v/>
      </c>
    </row>
    <row r="31" spans="1:1" s="3" customFormat="1" x14ac:dyDescent="0.2">
      <c r="A31" s="4" t="str">
        <v/>
      </c>
    </row>
    <row r="32" spans="1:1" s="3" customFormat="1" x14ac:dyDescent="0.2">
      <c r="A32" s="4" t="str">
        <v/>
      </c>
    </row>
    <row r="33" spans="1:1" s="3" customFormat="1" x14ac:dyDescent="0.2">
      <c r="A33" s="4" t="str">
        <v/>
      </c>
    </row>
    <row r="34" spans="1:1" s="3" customFormat="1" x14ac:dyDescent="0.2">
      <c r="A34" s="4" t="str">
        <v/>
      </c>
    </row>
    <row r="35" spans="1:1" s="3" customFormat="1" x14ac:dyDescent="0.2">
      <c r="A35" s="4" t="str">
        <v/>
      </c>
    </row>
    <row r="36" spans="1:1" s="3" customFormat="1" x14ac:dyDescent="0.2">
      <c r="A36" s="4" t="str">
        <v/>
      </c>
    </row>
    <row r="37" spans="1:1" s="3" customFormat="1" x14ac:dyDescent="0.2">
      <c r="A37" s="4" t="str">
        <v/>
      </c>
    </row>
    <row r="38" spans="1:1" s="3" customFormat="1" x14ac:dyDescent="0.2">
      <c r="A38" s="4" t="str">
        <v/>
      </c>
    </row>
    <row r="39" spans="1:1" s="3" customFormat="1" x14ac:dyDescent="0.2">
      <c r="A39" s="4" t="str">
        <v/>
      </c>
    </row>
    <row r="40" spans="1:1" s="3" customFormat="1" x14ac:dyDescent="0.2">
      <c r="A40" s="4" t="str">
        <v/>
      </c>
    </row>
    <row r="41" spans="1:1" s="3" customFormat="1" x14ac:dyDescent="0.2">
      <c r="A41" s="4" t="str">
        <v/>
      </c>
    </row>
    <row r="42" spans="1:1" s="3" customFormat="1" x14ac:dyDescent="0.2">
      <c r="A42" s="4" t="str">
        <v/>
      </c>
    </row>
    <row r="43" spans="1:1" s="3" customFormat="1" x14ac:dyDescent="0.2">
      <c r="A43" s="4" t="str">
        <v/>
      </c>
    </row>
    <row r="44" spans="1:1" s="3" customFormat="1" x14ac:dyDescent="0.2">
      <c r="A44" s="4" t="str">
        <v/>
      </c>
    </row>
    <row r="45" spans="1:1" s="3" customFormat="1" x14ac:dyDescent="0.2">
      <c r="A45" s="4" t="str">
        <v/>
      </c>
    </row>
    <row r="46" spans="1:1" s="3" customFormat="1" x14ac:dyDescent="0.2">
      <c r="A46" s="4" t="str">
        <v/>
      </c>
    </row>
    <row r="47" spans="1:1" s="3" customFormat="1" x14ac:dyDescent="0.2">
      <c r="A47" s="4" t="str">
        <v/>
      </c>
    </row>
    <row r="48" spans="1:1" s="3" customFormat="1" x14ac:dyDescent="0.2">
      <c r="A48" s="4" t="str">
        <v/>
      </c>
    </row>
    <row r="49" spans="1:1" s="3" customFormat="1" x14ac:dyDescent="0.2">
      <c r="A49" s="4" t="str">
        <v/>
      </c>
    </row>
    <row r="50" spans="1:1" s="3" customFormat="1" x14ac:dyDescent="0.2">
      <c r="A50" s="4" t="str">
        <v/>
      </c>
    </row>
    <row r="51" spans="1:1" s="3" customFormat="1" x14ac:dyDescent="0.2">
      <c r="A51" s="4" t="str">
        <v/>
      </c>
    </row>
    <row r="52" spans="1:1" s="3" customFormat="1" x14ac:dyDescent="0.2">
      <c r="A52" s="4" t="str">
        <v/>
      </c>
    </row>
    <row r="53" spans="1:1" s="3" customFormat="1" x14ac:dyDescent="0.2">
      <c r="A53" s="4" t="str">
        <v/>
      </c>
    </row>
    <row r="54" spans="1:1" s="3" customFormat="1" x14ac:dyDescent="0.2">
      <c r="A54" s="4" t="str">
        <v/>
      </c>
    </row>
    <row r="55" spans="1:1" s="3" customFormat="1" x14ac:dyDescent="0.2">
      <c r="A55" s="4" t="str">
        <v/>
      </c>
    </row>
    <row r="56" spans="1:1" s="3" customFormat="1" x14ac:dyDescent="0.2">
      <c r="A56" s="4" t="str">
        <v/>
      </c>
    </row>
    <row r="57" spans="1:1" s="3" customFormat="1" x14ac:dyDescent="0.2">
      <c r="A57" s="4" t="str">
        <v/>
      </c>
    </row>
    <row r="58" spans="1:1" s="3" customFormat="1" x14ac:dyDescent="0.2">
      <c r="A58" s="4" t="str">
        <v/>
      </c>
    </row>
    <row r="59" spans="1:1" s="3" customFormat="1" x14ac:dyDescent="0.2">
      <c r="A59" s="4" t="str">
        <v/>
      </c>
    </row>
    <row r="60" spans="1:1" s="3" customFormat="1" x14ac:dyDescent="0.2">
      <c r="A60" s="4" t="str">
        <v/>
      </c>
    </row>
    <row r="61" spans="1:1" s="3" customFormat="1" x14ac:dyDescent="0.2">
      <c r="A61" s="4" t="str">
        <v/>
      </c>
    </row>
    <row r="62" spans="1:1" s="3" customFormat="1" x14ac:dyDescent="0.2">
      <c r="A62" s="4" t="str">
        <v/>
      </c>
    </row>
    <row r="63" spans="1:1" s="3" customFormat="1" x14ac:dyDescent="0.2">
      <c r="A63" s="4" t="str">
        <v/>
      </c>
    </row>
    <row r="64" spans="1:1" s="3" customFormat="1" x14ac:dyDescent="0.2">
      <c r="A64" s="4" t="str">
        <v/>
      </c>
    </row>
    <row r="65" spans="1:1" s="3" customFormat="1" x14ac:dyDescent="0.2">
      <c r="A65" s="4" t="str">
        <v/>
      </c>
    </row>
    <row r="66" spans="1:1" s="3" customFormat="1" x14ac:dyDescent="0.2">
      <c r="A66" s="4" t="str">
        <v/>
      </c>
    </row>
    <row r="67" spans="1:1" s="3" customFormat="1" x14ac:dyDescent="0.2">
      <c r="A67" s="4" t="str">
        <v/>
      </c>
    </row>
    <row r="68" spans="1:1" s="3" customFormat="1" x14ac:dyDescent="0.2">
      <c r="A68" s="4" t="str">
        <v/>
      </c>
    </row>
    <row r="69" spans="1:1" s="3" customFormat="1" x14ac:dyDescent="0.2">
      <c r="A69" s="4" t="str">
        <v/>
      </c>
    </row>
    <row r="70" spans="1:1" s="3" customFormat="1" x14ac:dyDescent="0.2">
      <c r="A70" s="4" t="str">
        <v/>
      </c>
    </row>
    <row r="71" spans="1:1" s="3" customFormat="1" x14ac:dyDescent="0.2">
      <c r="A71" s="4" t="str">
        <v/>
      </c>
    </row>
    <row r="72" spans="1:1" s="3" customFormat="1" x14ac:dyDescent="0.2">
      <c r="A72" s="4" t="str">
        <v/>
      </c>
    </row>
    <row r="73" spans="1:1" s="3" customFormat="1" x14ac:dyDescent="0.2">
      <c r="A73" s="4" t="str">
        <v/>
      </c>
    </row>
    <row r="74" spans="1:1" s="3" customFormat="1" x14ac:dyDescent="0.2">
      <c r="A74" s="4" t="str">
        <v/>
      </c>
    </row>
    <row r="75" spans="1:1" s="3" customFormat="1" x14ac:dyDescent="0.2">
      <c r="A75" s="4" t="str">
        <v/>
      </c>
    </row>
    <row r="76" spans="1:1" s="3" customFormat="1" x14ac:dyDescent="0.2">
      <c r="A76" s="4" t="str">
        <v/>
      </c>
    </row>
    <row r="77" spans="1:1" s="3" customFormat="1" x14ac:dyDescent="0.2">
      <c r="A77" s="4" t="str">
        <v/>
      </c>
    </row>
    <row r="78" spans="1:1" s="3" customFormat="1" x14ac:dyDescent="0.2">
      <c r="A78" s="4" t="str">
        <v/>
      </c>
    </row>
    <row r="79" spans="1:1" s="3" customFormat="1" x14ac:dyDescent="0.2">
      <c r="A79" s="4" t="str">
        <v/>
      </c>
    </row>
    <row r="80" spans="1:1" s="3" customFormat="1" x14ac:dyDescent="0.2">
      <c r="A80" s="4" t="str">
        <v/>
      </c>
    </row>
    <row r="81" spans="1:1" s="3" customFormat="1" x14ac:dyDescent="0.2">
      <c r="A81" s="4" t="str">
        <v/>
      </c>
    </row>
    <row r="82" spans="1:1" s="3" customFormat="1" x14ac:dyDescent="0.2">
      <c r="A82" s="4" t="str">
        <v/>
      </c>
    </row>
    <row r="83" spans="1:1" s="3" customFormat="1" x14ac:dyDescent="0.2">
      <c r="A83" s="4" t="str">
        <v/>
      </c>
    </row>
    <row r="84" spans="1:1" s="3" customFormat="1" x14ac:dyDescent="0.2">
      <c r="A84" s="4" t="str">
        <v/>
      </c>
    </row>
    <row r="85" spans="1:1" s="3" customFormat="1" x14ac:dyDescent="0.2">
      <c r="A85" s="4" t="str">
        <v/>
      </c>
    </row>
    <row r="86" spans="1:1" s="3" customFormat="1" x14ac:dyDescent="0.2">
      <c r="A86" s="4" t="str">
        <v/>
      </c>
    </row>
    <row r="87" spans="1:1" s="3" customFormat="1" x14ac:dyDescent="0.2">
      <c r="A87" s="4" t="str">
        <v/>
      </c>
    </row>
    <row r="88" spans="1:1" s="3" customFormat="1" x14ac:dyDescent="0.2">
      <c r="A88" s="4" t="str">
        <v/>
      </c>
    </row>
    <row r="89" spans="1:1" s="3" customFormat="1" x14ac:dyDescent="0.2">
      <c r="A89" s="4" t="str">
        <v/>
      </c>
    </row>
    <row r="90" spans="1:1" s="3" customFormat="1" x14ac:dyDescent="0.2">
      <c r="A90" s="4" t="str">
        <v/>
      </c>
    </row>
    <row r="91" spans="1:1" s="3" customFormat="1" x14ac:dyDescent="0.2">
      <c r="A91" s="4" t="str">
        <v/>
      </c>
    </row>
    <row r="92" spans="1:1" s="3" customFormat="1" x14ac:dyDescent="0.2">
      <c r="A92" s="4" t="str">
        <v/>
      </c>
    </row>
    <row r="93" spans="1:1" s="3" customFormat="1" x14ac:dyDescent="0.2">
      <c r="A93" s="4" t="str">
        <v/>
      </c>
    </row>
    <row r="94" spans="1:1" s="3" customFormat="1" x14ac:dyDescent="0.2">
      <c r="A94" s="4" t="str">
        <v/>
      </c>
    </row>
    <row r="95" spans="1:1" s="3" customFormat="1" x14ac:dyDescent="0.2">
      <c r="A95" s="4" t="str">
        <v/>
      </c>
    </row>
    <row r="96" spans="1:1" s="3" customFormat="1" x14ac:dyDescent="0.2">
      <c r="A96" s="4" t="str">
        <v/>
      </c>
    </row>
    <row r="97" spans="1:1" s="3" customFormat="1" x14ac:dyDescent="0.2">
      <c r="A97" s="4" t="str">
        <v/>
      </c>
    </row>
    <row r="98" spans="1:1" s="3" customFormat="1" x14ac:dyDescent="0.2">
      <c r="A98" s="4" t="str">
        <v/>
      </c>
    </row>
    <row r="99" spans="1:1" s="3" customFormat="1" x14ac:dyDescent="0.2">
      <c r="A99" s="4" t="str">
        <v/>
      </c>
    </row>
    <row r="100" spans="1:1" s="3" customFormat="1" x14ac:dyDescent="0.2">
      <c r="A100" s="4" t="str">
        <v/>
      </c>
    </row>
    <row r="101" spans="1:1" s="3" customFormat="1" x14ac:dyDescent="0.2"/>
    <row r="102" spans="1:1" s="3" customFormat="1" x14ac:dyDescent="0.2"/>
    <row r="103" spans="1:1" s="3" customFormat="1" x14ac:dyDescent="0.2"/>
    <row r="104" spans="1:1" s="3" customFormat="1" x14ac:dyDescent="0.2"/>
    <row r="105" spans="1:1" s="3" customFormat="1" x14ac:dyDescent="0.2"/>
    <row r="106" spans="1:1" s="3" customFormat="1" x14ac:dyDescent="0.2"/>
    <row r="107" spans="1:1" s="3" customFormat="1" x14ac:dyDescent="0.2"/>
    <row r="108" spans="1:1" s="3" customFormat="1" x14ac:dyDescent="0.2"/>
    <row r="109" spans="1:1" s="3" customFormat="1" x14ac:dyDescent="0.2"/>
    <row r="110" spans="1:1" s="3" customFormat="1" x14ac:dyDescent="0.2"/>
    <row r="111" spans="1:1" s="3" customFormat="1" x14ac:dyDescent="0.2"/>
    <row r="112" spans="1:1"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1">
    <cfRule type="notContainsErrors" dxfId="49" priority="1">
      <formula>NOT(ISERROR(A1))</formula>
    </cfRule>
  </conditionalFormatting>
  <conditionalFormatting sqref="A2:H3">
    <cfRule type="notContainsErrors" dxfId="48" priority="6">
      <formula>NOT(ISERROR(A2))</formula>
    </cfRule>
  </conditionalFormatting>
  <conditionalFormatting sqref="A4:H4">
    <cfRule type="notContainsErrors" dxfId="47" priority="5">
      <formula>NOT(ISERROR(A4))</formula>
    </cfRule>
  </conditionalFormatting>
  <conditionalFormatting sqref="C1:D1">
    <cfRule type="notContainsErrors" dxfId="46" priority="2">
      <formula>NOT(ISERROR(C1))</formula>
    </cfRule>
  </conditionalFormatting>
  <conditionalFormatting sqref="F1">
    <cfRule type="notContainsErrors" dxfId="45" priority="4">
      <formula>NOT(ISERROR(F1))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4"/>
  <sheetViews>
    <sheetView workbookViewId="0">
      <selection activeCell="C11" sqref="C11"/>
    </sheetView>
  </sheetViews>
  <sheetFormatPr baseColWidth="10" defaultColWidth="8.83203125" defaultRowHeight="15" x14ac:dyDescent="0.2"/>
  <cols>
    <col min="1" max="1" width="63.6640625" style="1" customWidth="1"/>
    <col min="2" max="5" width="70.6640625" style="1" customWidth="1"/>
  </cols>
  <sheetData>
    <row r="1" spans="1:5" ht="16" x14ac:dyDescent="0.2">
      <c r="A1" s="1" t="s">
        <v>0</v>
      </c>
      <c r="B1" s="1" t="s">
        <v>41</v>
      </c>
      <c r="C1" s="1" t="s">
        <v>44</v>
      </c>
      <c r="D1" s="1" t="s">
        <v>48</v>
      </c>
      <c r="E1" s="1" t="s">
        <v>50</v>
      </c>
    </row>
    <row r="2" spans="1:5" ht="64" x14ac:dyDescent="0.2">
      <c r="A2" s="1" t="s">
        <v>40</v>
      </c>
      <c r="B2" s="1" t="s">
        <v>42</v>
      </c>
      <c r="C2" s="1" t="s">
        <v>45</v>
      </c>
      <c r="D2" s="1" t="s">
        <v>49</v>
      </c>
      <c r="E2" s="1" t="s">
        <v>51</v>
      </c>
    </row>
    <row r="3" spans="1:5" ht="16" x14ac:dyDescent="0.2">
      <c r="A3" s="1" t="s">
        <v>2</v>
      </c>
      <c r="B3" s="1" t="s">
        <v>43</v>
      </c>
      <c r="C3" s="1" t="s">
        <v>46</v>
      </c>
      <c r="D3" s="1">
        <v>8036</v>
      </c>
      <c r="E3" s="1" t="s">
        <v>52</v>
      </c>
    </row>
    <row r="4" spans="1:5" x14ac:dyDescent="0.2">
      <c r="A4" s="2" t="s">
        <v>18</v>
      </c>
    </row>
    <row r="5" spans="1:5" s="3" customFormat="1" ht="16" x14ac:dyDescent="0.2">
      <c r="A5" s="4" t="str">
        <f t="array" ref="A5:A100">IF(ISBLANK(C5:C100)*ISBLANK(D5:D100)*ISBLANK(E5:E100)*ISBLANK(F5:F100), "", IF(study!$A$5 &lt;&gt; "", study!$A$5, "" ))</f>
        <v>STUDY004</v>
      </c>
      <c r="B5" s="3" t="s">
        <v>43</v>
      </c>
      <c r="C5" s="3" t="s">
        <v>47</v>
      </c>
      <c r="D5" s="3">
        <v>6344</v>
      </c>
      <c r="E5" s="3" t="s">
        <v>53</v>
      </c>
    </row>
    <row r="6" spans="1:5" s="3" customFormat="1" x14ac:dyDescent="0.2">
      <c r="A6" s="4" t="str">
        <v/>
      </c>
    </row>
    <row r="7" spans="1:5" s="3" customFormat="1" x14ac:dyDescent="0.2">
      <c r="A7" s="4" t="str">
        <v/>
      </c>
    </row>
    <row r="8" spans="1:5" s="3" customFormat="1" x14ac:dyDescent="0.2">
      <c r="A8" s="4" t="str">
        <v/>
      </c>
    </row>
    <row r="9" spans="1:5" s="3" customFormat="1" x14ac:dyDescent="0.2">
      <c r="A9" s="4" t="str">
        <v/>
      </c>
    </row>
    <row r="10" spans="1:5" s="3" customFormat="1" x14ac:dyDescent="0.2">
      <c r="A10" s="4" t="str">
        <v/>
      </c>
    </row>
    <row r="11" spans="1:5" s="3" customFormat="1" x14ac:dyDescent="0.2">
      <c r="A11" s="4" t="str">
        <v/>
      </c>
    </row>
    <row r="12" spans="1:5" s="3" customFormat="1" x14ac:dyDescent="0.2">
      <c r="A12" s="4" t="str">
        <v/>
      </c>
    </row>
    <row r="13" spans="1:5" s="3" customFormat="1" x14ac:dyDescent="0.2">
      <c r="A13" s="4" t="str">
        <v/>
      </c>
    </row>
    <row r="14" spans="1:5" s="3" customFormat="1" x14ac:dyDescent="0.2">
      <c r="A14" s="4" t="str">
        <v/>
      </c>
    </row>
    <row r="15" spans="1:5" s="3" customFormat="1" x14ac:dyDescent="0.2">
      <c r="A15" s="4" t="str">
        <v/>
      </c>
    </row>
    <row r="16" spans="1:5" s="3" customFormat="1" x14ac:dyDescent="0.2">
      <c r="A16" s="4" t="str">
        <v/>
      </c>
    </row>
    <row r="17" spans="1:1" s="3" customFormat="1" x14ac:dyDescent="0.2">
      <c r="A17" s="4" t="str">
        <v/>
      </c>
    </row>
    <row r="18" spans="1:1" s="3" customFormat="1" x14ac:dyDescent="0.2">
      <c r="A18" s="4" t="str">
        <v/>
      </c>
    </row>
    <row r="19" spans="1:1" s="3" customFormat="1" x14ac:dyDescent="0.2">
      <c r="A19" s="4" t="str">
        <v/>
      </c>
    </row>
    <row r="20" spans="1:1" s="3" customFormat="1" x14ac:dyDescent="0.2">
      <c r="A20" s="4" t="str">
        <v/>
      </c>
    </row>
    <row r="21" spans="1:1" s="3" customFormat="1" x14ac:dyDescent="0.2">
      <c r="A21" s="4" t="str">
        <v/>
      </c>
    </row>
    <row r="22" spans="1:1" s="3" customFormat="1" x14ac:dyDescent="0.2">
      <c r="A22" s="4" t="str">
        <v/>
      </c>
    </row>
    <row r="23" spans="1:1" s="3" customFormat="1" x14ac:dyDescent="0.2">
      <c r="A23" s="4" t="str">
        <v/>
      </c>
    </row>
    <row r="24" spans="1:1" s="3" customFormat="1" x14ac:dyDescent="0.2">
      <c r="A24" s="4" t="str">
        <v/>
      </c>
    </row>
    <row r="25" spans="1:1" s="3" customFormat="1" x14ac:dyDescent="0.2">
      <c r="A25" s="4" t="str">
        <v/>
      </c>
    </row>
    <row r="26" spans="1:1" s="3" customFormat="1" x14ac:dyDescent="0.2">
      <c r="A26" s="4" t="str">
        <v/>
      </c>
    </row>
    <row r="27" spans="1:1" s="3" customFormat="1" x14ac:dyDescent="0.2">
      <c r="A27" s="4" t="str">
        <v/>
      </c>
    </row>
    <row r="28" spans="1:1" s="3" customFormat="1" x14ac:dyDescent="0.2">
      <c r="A28" s="4" t="str">
        <v/>
      </c>
    </row>
    <row r="29" spans="1:1" s="3" customFormat="1" x14ac:dyDescent="0.2">
      <c r="A29" s="4" t="str">
        <v/>
      </c>
    </row>
    <row r="30" spans="1:1" s="3" customFormat="1" x14ac:dyDescent="0.2">
      <c r="A30" s="4" t="str">
        <v/>
      </c>
    </row>
    <row r="31" spans="1:1" s="3" customFormat="1" x14ac:dyDescent="0.2">
      <c r="A31" s="4" t="str">
        <v/>
      </c>
    </row>
    <row r="32" spans="1:1" s="3" customFormat="1" x14ac:dyDescent="0.2">
      <c r="A32" s="4" t="str">
        <v/>
      </c>
    </row>
    <row r="33" spans="1:1" s="3" customFormat="1" x14ac:dyDescent="0.2">
      <c r="A33" s="4" t="str">
        <v/>
      </c>
    </row>
    <row r="34" spans="1:1" s="3" customFormat="1" x14ac:dyDescent="0.2">
      <c r="A34" s="4" t="str">
        <v/>
      </c>
    </row>
    <row r="35" spans="1:1" s="3" customFormat="1" x14ac:dyDescent="0.2">
      <c r="A35" s="4" t="str">
        <v/>
      </c>
    </row>
    <row r="36" spans="1:1" s="3" customFormat="1" x14ac:dyDescent="0.2">
      <c r="A36" s="4" t="str">
        <v/>
      </c>
    </row>
    <row r="37" spans="1:1" s="3" customFormat="1" x14ac:dyDescent="0.2">
      <c r="A37" s="4" t="str">
        <v/>
      </c>
    </row>
    <row r="38" spans="1:1" s="3" customFormat="1" x14ac:dyDescent="0.2">
      <c r="A38" s="4" t="str">
        <v/>
      </c>
    </row>
    <row r="39" spans="1:1" s="3" customFormat="1" x14ac:dyDescent="0.2">
      <c r="A39" s="4" t="str">
        <v/>
      </c>
    </row>
    <row r="40" spans="1:1" s="3" customFormat="1" x14ac:dyDescent="0.2">
      <c r="A40" s="4" t="str">
        <v/>
      </c>
    </row>
    <row r="41" spans="1:1" s="3" customFormat="1" x14ac:dyDescent="0.2">
      <c r="A41" s="4" t="str">
        <v/>
      </c>
    </row>
    <row r="42" spans="1:1" s="3" customFormat="1" x14ac:dyDescent="0.2">
      <c r="A42" s="4" t="str">
        <v/>
      </c>
    </row>
    <row r="43" spans="1:1" s="3" customFormat="1" x14ac:dyDescent="0.2">
      <c r="A43" s="4" t="str">
        <v/>
      </c>
    </row>
    <row r="44" spans="1:1" s="3" customFormat="1" x14ac:dyDescent="0.2">
      <c r="A44" s="4" t="str">
        <v/>
      </c>
    </row>
    <row r="45" spans="1:1" s="3" customFormat="1" x14ac:dyDescent="0.2">
      <c r="A45" s="4" t="str">
        <v/>
      </c>
    </row>
    <row r="46" spans="1:1" s="3" customFormat="1" x14ac:dyDescent="0.2">
      <c r="A46" s="4" t="str">
        <v/>
      </c>
    </row>
    <row r="47" spans="1:1" s="3" customFormat="1" x14ac:dyDescent="0.2">
      <c r="A47" s="4" t="str">
        <v/>
      </c>
    </row>
    <row r="48" spans="1:1" s="3" customFormat="1" x14ac:dyDescent="0.2">
      <c r="A48" s="4" t="str">
        <v/>
      </c>
    </row>
    <row r="49" spans="1:1" s="3" customFormat="1" x14ac:dyDescent="0.2">
      <c r="A49" s="4" t="str">
        <v/>
      </c>
    </row>
    <row r="50" spans="1:1" s="3" customFormat="1" x14ac:dyDescent="0.2">
      <c r="A50" s="4" t="str">
        <v/>
      </c>
    </row>
    <row r="51" spans="1:1" s="3" customFormat="1" x14ac:dyDescent="0.2">
      <c r="A51" s="4" t="str">
        <v/>
      </c>
    </row>
    <row r="52" spans="1:1" s="3" customFormat="1" x14ac:dyDescent="0.2">
      <c r="A52" s="4" t="str">
        <v/>
      </c>
    </row>
    <row r="53" spans="1:1" s="3" customFormat="1" x14ac:dyDescent="0.2">
      <c r="A53" s="4" t="str">
        <v/>
      </c>
    </row>
    <row r="54" spans="1:1" s="3" customFormat="1" x14ac:dyDescent="0.2">
      <c r="A54" s="4" t="str">
        <v/>
      </c>
    </row>
    <row r="55" spans="1:1" s="3" customFormat="1" x14ac:dyDescent="0.2">
      <c r="A55" s="4" t="str">
        <v/>
      </c>
    </row>
    <row r="56" spans="1:1" s="3" customFormat="1" x14ac:dyDescent="0.2">
      <c r="A56" s="4" t="str">
        <v/>
      </c>
    </row>
    <row r="57" spans="1:1" s="3" customFormat="1" x14ac:dyDescent="0.2">
      <c r="A57" s="4" t="str">
        <v/>
      </c>
    </row>
    <row r="58" spans="1:1" s="3" customFormat="1" x14ac:dyDescent="0.2">
      <c r="A58" s="4" t="str">
        <v/>
      </c>
    </row>
    <row r="59" spans="1:1" s="3" customFormat="1" x14ac:dyDescent="0.2">
      <c r="A59" s="4" t="str">
        <v/>
      </c>
    </row>
    <row r="60" spans="1:1" s="3" customFormat="1" x14ac:dyDescent="0.2">
      <c r="A60" s="4" t="str">
        <v/>
      </c>
    </row>
    <row r="61" spans="1:1" s="3" customFormat="1" x14ac:dyDescent="0.2">
      <c r="A61" s="4" t="str">
        <v/>
      </c>
    </row>
    <row r="62" spans="1:1" s="3" customFormat="1" x14ac:dyDescent="0.2">
      <c r="A62" s="4" t="str">
        <v/>
      </c>
    </row>
    <row r="63" spans="1:1" s="3" customFormat="1" x14ac:dyDescent="0.2">
      <c r="A63" s="4" t="str">
        <v/>
      </c>
    </row>
    <row r="64" spans="1:1" s="3" customFormat="1" x14ac:dyDescent="0.2">
      <c r="A64" s="4" t="str">
        <v/>
      </c>
    </row>
    <row r="65" spans="1:1" s="3" customFormat="1" x14ac:dyDescent="0.2">
      <c r="A65" s="4" t="str">
        <v/>
      </c>
    </row>
    <row r="66" spans="1:1" s="3" customFormat="1" x14ac:dyDescent="0.2">
      <c r="A66" s="4" t="str">
        <v/>
      </c>
    </row>
    <row r="67" spans="1:1" s="3" customFormat="1" x14ac:dyDescent="0.2">
      <c r="A67" s="4" t="str">
        <v/>
      </c>
    </row>
    <row r="68" spans="1:1" s="3" customFormat="1" x14ac:dyDescent="0.2">
      <c r="A68" s="4" t="str">
        <v/>
      </c>
    </row>
    <row r="69" spans="1:1" s="3" customFormat="1" x14ac:dyDescent="0.2">
      <c r="A69" s="4" t="str">
        <v/>
      </c>
    </row>
    <row r="70" spans="1:1" s="3" customFormat="1" x14ac:dyDescent="0.2">
      <c r="A70" s="4" t="str">
        <v/>
      </c>
    </row>
    <row r="71" spans="1:1" s="3" customFormat="1" x14ac:dyDescent="0.2">
      <c r="A71" s="4" t="str">
        <v/>
      </c>
    </row>
    <row r="72" spans="1:1" s="3" customFormat="1" x14ac:dyDescent="0.2">
      <c r="A72" s="4" t="str">
        <v/>
      </c>
    </row>
    <row r="73" spans="1:1" s="3" customFormat="1" x14ac:dyDescent="0.2">
      <c r="A73" s="4" t="str">
        <v/>
      </c>
    </row>
    <row r="74" spans="1:1" s="3" customFormat="1" x14ac:dyDescent="0.2">
      <c r="A74" s="4" t="str">
        <v/>
      </c>
    </row>
    <row r="75" spans="1:1" s="3" customFormat="1" x14ac:dyDescent="0.2">
      <c r="A75" s="4" t="str">
        <v/>
      </c>
    </row>
    <row r="76" spans="1:1" s="3" customFormat="1" x14ac:dyDescent="0.2">
      <c r="A76" s="4" t="str">
        <v/>
      </c>
    </row>
    <row r="77" spans="1:1" s="3" customFormat="1" x14ac:dyDescent="0.2">
      <c r="A77" s="4" t="str">
        <v/>
      </c>
    </row>
    <row r="78" spans="1:1" s="3" customFormat="1" x14ac:dyDescent="0.2">
      <c r="A78" s="4" t="str">
        <v/>
      </c>
    </row>
    <row r="79" spans="1:1" s="3" customFormat="1" x14ac:dyDescent="0.2">
      <c r="A79" s="4" t="str">
        <v/>
      </c>
    </row>
    <row r="80" spans="1:1" s="3" customFormat="1" x14ac:dyDescent="0.2">
      <c r="A80" s="4" t="str">
        <v/>
      </c>
    </row>
    <row r="81" spans="1:1" s="3" customFormat="1" x14ac:dyDescent="0.2">
      <c r="A81" s="4" t="str">
        <v/>
      </c>
    </row>
    <row r="82" spans="1:1" s="3" customFormat="1" x14ac:dyDescent="0.2">
      <c r="A82" s="4" t="str">
        <v/>
      </c>
    </row>
    <row r="83" spans="1:1" s="3" customFormat="1" x14ac:dyDescent="0.2">
      <c r="A83" s="4" t="str">
        <v/>
      </c>
    </row>
    <row r="84" spans="1:1" s="3" customFormat="1" x14ac:dyDescent="0.2">
      <c r="A84" s="4" t="str">
        <v/>
      </c>
    </row>
    <row r="85" spans="1:1" s="3" customFormat="1" x14ac:dyDescent="0.2">
      <c r="A85" s="4" t="str">
        <v/>
      </c>
    </row>
    <row r="86" spans="1:1" s="3" customFormat="1" x14ac:dyDescent="0.2">
      <c r="A86" s="4" t="str">
        <v/>
      </c>
    </row>
    <row r="87" spans="1:1" s="3" customFormat="1" x14ac:dyDescent="0.2">
      <c r="A87" s="4" t="str">
        <v/>
      </c>
    </row>
    <row r="88" spans="1:1" s="3" customFormat="1" x14ac:dyDescent="0.2">
      <c r="A88" s="4" t="str">
        <v/>
      </c>
    </row>
    <row r="89" spans="1:1" s="3" customFormat="1" x14ac:dyDescent="0.2">
      <c r="A89" s="4" t="str">
        <v/>
      </c>
    </row>
    <row r="90" spans="1:1" s="3" customFormat="1" x14ac:dyDescent="0.2">
      <c r="A90" s="4" t="str">
        <v/>
      </c>
    </row>
    <row r="91" spans="1:1" s="3" customFormat="1" x14ac:dyDescent="0.2">
      <c r="A91" s="4" t="str">
        <v/>
      </c>
    </row>
    <row r="92" spans="1:1" s="3" customFormat="1" x14ac:dyDescent="0.2">
      <c r="A92" s="4" t="str">
        <v/>
      </c>
    </row>
    <row r="93" spans="1:1" s="3" customFormat="1" x14ac:dyDescent="0.2">
      <c r="A93" s="4" t="str">
        <v/>
      </c>
    </row>
    <row r="94" spans="1:1" s="3" customFormat="1" x14ac:dyDescent="0.2">
      <c r="A94" s="4" t="str">
        <v/>
      </c>
    </row>
    <row r="95" spans="1:1" s="3" customFormat="1" x14ac:dyDescent="0.2">
      <c r="A95" s="4" t="str">
        <v/>
      </c>
    </row>
    <row r="96" spans="1:1" s="3" customFormat="1" x14ac:dyDescent="0.2">
      <c r="A96" s="4" t="str">
        <v/>
      </c>
    </row>
    <row r="97" spans="1:1" s="3" customFormat="1" x14ac:dyDescent="0.2">
      <c r="A97" s="4" t="str">
        <v/>
      </c>
    </row>
    <row r="98" spans="1:1" s="3" customFormat="1" x14ac:dyDescent="0.2">
      <c r="A98" s="4" t="str">
        <v/>
      </c>
    </row>
    <row r="99" spans="1:1" s="3" customFormat="1" x14ac:dyDescent="0.2">
      <c r="A99" s="4" t="str">
        <v/>
      </c>
    </row>
    <row r="100" spans="1:1" s="3" customFormat="1" x14ac:dyDescent="0.2">
      <c r="A100" s="4" t="str">
        <v/>
      </c>
    </row>
    <row r="101" spans="1:1" s="3" customFormat="1" x14ac:dyDescent="0.2"/>
    <row r="102" spans="1:1" s="3" customFormat="1" x14ac:dyDescent="0.2"/>
    <row r="103" spans="1:1" s="3" customFormat="1" x14ac:dyDescent="0.2"/>
    <row r="104" spans="1:1" s="3" customFormat="1" x14ac:dyDescent="0.2"/>
    <row r="105" spans="1:1" s="3" customFormat="1" x14ac:dyDescent="0.2"/>
    <row r="106" spans="1:1" s="3" customFormat="1" x14ac:dyDescent="0.2"/>
    <row r="107" spans="1:1" s="3" customFormat="1" x14ac:dyDescent="0.2"/>
    <row r="108" spans="1:1" s="3" customFormat="1" x14ac:dyDescent="0.2"/>
    <row r="109" spans="1:1" s="3" customFormat="1" x14ac:dyDescent="0.2"/>
    <row r="110" spans="1:1" s="3" customFormat="1" x14ac:dyDescent="0.2"/>
    <row r="111" spans="1:1" s="3" customFormat="1" x14ac:dyDescent="0.2"/>
    <row r="112" spans="1:1"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1:B1">
    <cfRule type="notContainsErrors" dxfId="44" priority="1">
      <formula>NOT(ISERROR(A1))</formula>
    </cfRule>
  </conditionalFormatting>
  <conditionalFormatting sqref="A2:E3">
    <cfRule type="notContainsErrors" dxfId="43" priority="6">
      <formula>NOT(ISERROR(A2))</formula>
    </cfRule>
  </conditionalFormatting>
  <conditionalFormatting sqref="A4:E4">
    <cfRule type="notContainsErrors" dxfId="42" priority="5">
      <formula>NOT(ISERROR(A4))</formula>
    </cfRule>
  </conditionalFormatting>
  <conditionalFormatting sqref="D1:E1">
    <cfRule type="notContainsErrors" dxfId="41" priority="3">
      <formula>NOT(ISERROR(D1))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04"/>
  <sheetViews>
    <sheetView workbookViewId="0">
      <selection activeCell="C5" sqref="C5:N5"/>
    </sheetView>
  </sheetViews>
  <sheetFormatPr baseColWidth="10" defaultColWidth="8.83203125" defaultRowHeight="15" x14ac:dyDescent="0.2"/>
  <cols>
    <col min="1" max="1" width="47.6640625" style="1" customWidth="1"/>
    <col min="2" max="2" width="69.6640625" style="1" customWidth="1"/>
    <col min="3" max="3" width="67.6640625" style="1" customWidth="1"/>
    <col min="4" max="4" width="70.6640625" style="1" customWidth="1"/>
    <col min="5" max="5" width="34.6640625" style="1" customWidth="1"/>
    <col min="6" max="8" width="70.6640625" style="1" customWidth="1"/>
    <col min="9" max="9" width="68.6640625" style="1" customWidth="1"/>
    <col min="10" max="10" width="56.6640625" style="1" customWidth="1"/>
    <col min="11" max="11" width="69.6640625" style="1" customWidth="1"/>
    <col min="12" max="12" width="41.6640625" style="1" customWidth="1"/>
    <col min="13" max="13" width="70.6640625" style="1" customWidth="1"/>
    <col min="14" max="14" width="50.6640625" style="1" customWidth="1"/>
  </cols>
  <sheetData>
    <row r="1" spans="1:14" ht="16" x14ac:dyDescent="0.2">
      <c r="A1" s="1" t="s">
        <v>0</v>
      </c>
      <c r="B1" s="1" t="s">
        <v>54</v>
      </c>
      <c r="C1" s="1" t="s">
        <v>57</v>
      </c>
      <c r="D1" s="1" t="s">
        <v>60</v>
      </c>
      <c r="E1" s="1" t="s">
        <v>63</v>
      </c>
      <c r="F1" s="1" t="s">
        <v>66</v>
      </c>
      <c r="G1" s="1" t="s">
        <v>69</v>
      </c>
      <c r="H1" s="1" t="s">
        <v>72</v>
      </c>
      <c r="I1" s="1" t="s">
        <v>75</v>
      </c>
      <c r="J1" s="1" t="s">
        <v>78</v>
      </c>
      <c r="K1" s="1" t="s">
        <v>81</v>
      </c>
      <c r="L1" s="1" t="s">
        <v>84</v>
      </c>
      <c r="M1" s="1" t="s">
        <v>87</v>
      </c>
      <c r="N1" s="1" t="s">
        <v>90</v>
      </c>
    </row>
    <row r="2" spans="1:14" ht="64" x14ac:dyDescent="0.2">
      <c r="A2" s="1" t="s">
        <v>1</v>
      </c>
      <c r="B2" s="1" t="s">
        <v>55</v>
      </c>
      <c r="C2" s="1" t="s">
        <v>58</v>
      </c>
      <c r="D2" s="1" t="s">
        <v>61</v>
      </c>
      <c r="E2" s="1" t="s">
        <v>64</v>
      </c>
      <c r="F2" s="1" t="s">
        <v>67</v>
      </c>
      <c r="G2" s="1" t="s">
        <v>70</v>
      </c>
      <c r="H2" s="1" t="s">
        <v>73</v>
      </c>
      <c r="I2" s="1" t="s">
        <v>76</v>
      </c>
      <c r="J2" s="1" t="s">
        <v>79</v>
      </c>
      <c r="K2" s="1" t="s">
        <v>82</v>
      </c>
      <c r="L2" s="1" t="s">
        <v>85</v>
      </c>
      <c r="M2" s="1" t="s">
        <v>88</v>
      </c>
      <c r="N2" s="1" t="s">
        <v>91</v>
      </c>
    </row>
    <row r="3" spans="1:14" ht="16" x14ac:dyDescent="0.2">
      <c r="A3" s="1" t="s">
        <v>2</v>
      </c>
      <c r="B3" s="1" t="s">
        <v>56</v>
      </c>
      <c r="C3" s="1" t="s">
        <v>59</v>
      </c>
      <c r="D3" s="1" t="s">
        <v>62</v>
      </c>
      <c r="E3" s="1" t="s">
        <v>65</v>
      </c>
      <c r="F3" s="1" t="s">
        <v>68</v>
      </c>
      <c r="G3" s="5" t="s">
        <v>71</v>
      </c>
      <c r="H3" s="5" t="s">
        <v>74</v>
      </c>
      <c r="I3" s="5" t="s">
        <v>77</v>
      </c>
      <c r="J3" s="1" t="s">
        <v>80</v>
      </c>
      <c r="K3" s="1" t="s">
        <v>83</v>
      </c>
      <c r="L3" s="1" t="s">
        <v>86</v>
      </c>
      <c r="M3" s="1" t="s">
        <v>89</v>
      </c>
      <c r="N3" s="1" t="s">
        <v>92</v>
      </c>
    </row>
    <row r="4" spans="1:14" x14ac:dyDescent="0.2">
      <c r="A4" s="2" t="s">
        <v>18</v>
      </c>
    </row>
    <row r="5" spans="1:14" s="3" customFormat="1" ht="32" x14ac:dyDescent="0.2">
      <c r="A5" s="4" t="str">
        <f t="array" ref="A5:A100">IF(ISBLANK(C5:C100)*ISBLANK(D5:D100)*ISBLANK(E5:E100)*ISBLANK(F5:F100), "", IF(study!$A$5 &lt;&gt; "", study!$A$5, "" ))</f>
        <v>STUDY004</v>
      </c>
      <c r="B5" s="4" t="str">
        <f t="array" ref="B5:B100">IF(ISBLANK(C5:C100)*ISBLANK(D5:D100)*ISBLANK(E5:E100)*ISBLANK(F5:F100), "", CONCATENATE("DISSOC", TEXT(ROW()-4,"000")))</f>
        <v>DISSOC001</v>
      </c>
      <c r="C5" s="3" t="s">
        <v>59</v>
      </c>
      <c r="D5" s="3" t="s">
        <v>62</v>
      </c>
      <c r="E5" s="3" t="s">
        <v>65</v>
      </c>
      <c r="F5" s="3" t="s">
        <v>68</v>
      </c>
      <c r="G5" s="3" t="s">
        <v>71</v>
      </c>
      <c r="H5" s="3" t="s">
        <v>74</v>
      </c>
      <c r="I5" s="3" t="s">
        <v>77</v>
      </c>
      <c r="J5" s="3" t="s">
        <v>80</v>
      </c>
      <c r="K5" s="3" t="s">
        <v>83</v>
      </c>
      <c r="L5" s="3" t="s">
        <v>580</v>
      </c>
      <c r="M5" s="3" t="s">
        <v>89</v>
      </c>
      <c r="N5" s="3" t="s">
        <v>92</v>
      </c>
    </row>
    <row r="6" spans="1:14" s="3" customFormat="1" x14ac:dyDescent="0.2">
      <c r="A6" s="4" t="str">
        <v/>
      </c>
      <c r="B6" s="4" t="str">
        <v/>
      </c>
    </row>
    <row r="7" spans="1:14" s="3" customFormat="1" x14ac:dyDescent="0.2">
      <c r="A7" s="4" t="str">
        <v/>
      </c>
      <c r="B7" s="4" t="str">
        <v/>
      </c>
    </row>
    <row r="8" spans="1:14" s="3" customFormat="1" x14ac:dyDescent="0.2">
      <c r="A8" s="4" t="str">
        <v/>
      </c>
      <c r="B8" s="4" t="str">
        <v/>
      </c>
    </row>
    <row r="9" spans="1:14" s="3" customFormat="1" x14ac:dyDescent="0.2">
      <c r="A9" s="4" t="str">
        <v/>
      </c>
      <c r="B9" s="4" t="str">
        <v/>
      </c>
    </row>
    <row r="10" spans="1:14" s="3" customFormat="1" x14ac:dyDescent="0.2">
      <c r="A10" s="4" t="str">
        <v/>
      </c>
      <c r="B10" s="4" t="str">
        <v/>
      </c>
    </row>
    <row r="11" spans="1:14" s="3" customFormat="1" x14ac:dyDescent="0.2">
      <c r="A11" s="4" t="str">
        <v/>
      </c>
      <c r="B11" s="4" t="str">
        <v/>
      </c>
    </row>
    <row r="12" spans="1:14" s="3" customFormat="1" x14ac:dyDescent="0.2">
      <c r="A12" s="4" t="str">
        <v/>
      </c>
      <c r="B12" s="4" t="str">
        <v/>
      </c>
    </row>
    <row r="13" spans="1:14" s="3" customFormat="1" x14ac:dyDescent="0.2">
      <c r="A13" s="4" t="str">
        <v/>
      </c>
      <c r="B13" s="4" t="str">
        <v/>
      </c>
    </row>
    <row r="14" spans="1:14" s="3" customFormat="1" x14ac:dyDescent="0.2">
      <c r="A14" s="4" t="str">
        <v/>
      </c>
      <c r="B14" s="4" t="str">
        <v/>
      </c>
    </row>
    <row r="15" spans="1:14" s="3" customFormat="1" x14ac:dyDescent="0.2">
      <c r="A15" s="4" t="str">
        <v/>
      </c>
      <c r="B15" s="4" t="str">
        <v/>
      </c>
    </row>
    <row r="16" spans="1:14" s="3" customFormat="1" x14ac:dyDescent="0.2">
      <c r="A16" s="4" t="str">
        <v/>
      </c>
      <c r="B16" s="4" t="str">
        <v/>
      </c>
    </row>
    <row r="17" spans="1:2" s="3" customFormat="1" x14ac:dyDescent="0.2">
      <c r="A17" s="4" t="str">
        <v/>
      </c>
      <c r="B17" s="4" t="str">
        <v/>
      </c>
    </row>
    <row r="18" spans="1:2" s="3" customFormat="1" x14ac:dyDescent="0.2">
      <c r="A18" s="4" t="str">
        <v/>
      </c>
      <c r="B18" s="4" t="str">
        <v/>
      </c>
    </row>
    <row r="19" spans="1:2" s="3" customFormat="1" x14ac:dyDescent="0.2">
      <c r="A19" s="4" t="str">
        <v/>
      </c>
      <c r="B19" s="4" t="str">
        <v/>
      </c>
    </row>
    <row r="20" spans="1:2" s="3" customFormat="1" x14ac:dyDescent="0.2">
      <c r="A20" s="4" t="str">
        <v/>
      </c>
      <c r="B20" s="4" t="str">
        <v/>
      </c>
    </row>
    <row r="21" spans="1:2" s="3" customFormat="1" x14ac:dyDescent="0.2">
      <c r="A21" s="4" t="str">
        <v/>
      </c>
      <c r="B21" s="4" t="str">
        <v/>
      </c>
    </row>
    <row r="22" spans="1:2" s="3" customFormat="1" x14ac:dyDescent="0.2">
      <c r="A22" s="4" t="str">
        <v/>
      </c>
      <c r="B22" s="4" t="str">
        <v/>
      </c>
    </row>
    <row r="23" spans="1:2" s="3" customFormat="1" x14ac:dyDescent="0.2">
      <c r="A23" s="4" t="str">
        <v/>
      </c>
      <c r="B23" s="4" t="str">
        <v/>
      </c>
    </row>
    <row r="24" spans="1:2" s="3" customFormat="1" x14ac:dyDescent="0.2">
      <c r="A24" s="4" t="str">
        <v/>
      </c>
      <c r="B24" s="4" t="str">
        <v/>
      </c>
    </row>
    <row r="25" spans="1:2" s="3" customFormat="1" x14ac:dyDescent="0.2">
      <c r="A25" s="4" t="str">
        <v/>
      </c>
      <c r="B25" s="4" t="str">
        <v/>
      </c>
    </row>
    <row r="26" spans="1:2" s="3" customFormat="1" x14ac:dyDescent="0.2">
      <c r="A26" s="4" t="str">
        <v/>
      </c>
      <c r="B26" s="4" t="str">
        <v/>
      </c>
    </row>
    <row r="27" spans="1:2" s="3" customFormat="1" x14ac:dyDescent="0.2">
      <c r="A27" s="4" t="str">
        <v/>
      </c>
      <c r="B27" s="4" t="str">
        <v/>
      </c>
    </row>
    <row r="28" spans="1:2" s="3" customFormat="1" x14ac:dyDescent="0.2">
      <c r="A28" s="4" t="str">
        <v/>
      </c>
      <c r="B28" s="4" t="str">
        <v/>
      </c>
    </row>
    <row r="29" spans="1:2" s="3" customFormat="1" x14ac:dyDescent="0.2">
      <c r="A29" s="4" t="str">
        <v/>
      </c>
      <c r="B29" s="4" t="str">
        <v/>
      </c>
    </row>
    <row r="30" spans="1:2" s="3" customFormat="1" x14ac:dyDescent="0.2">
      <c r="A30" s="4" t="str">
        <v/>
      </c>
      <c r="B30" s="4" t="str">
        <v/>
      </c>
    </row>
    <row r="31" spans="1:2" s="3" customFormat="1" x14ac:dyDescent="0.2">
      <c r="A31" s="4" t="str">
        <v/>
      </c>
      <c r="B31" s="4" t="str">
        <v/>
      </c>
    </row>
    <row r="32" spans="1:2" s="3" customFormat="1" x14ac:dyDescent="0.2">
      <c r="A32" s="4" t="str">
        <v/>
      </c>
      <c r="B32" s="4" t="str">
        <v/>
      </c>
    </row>
    <row r="33" spans="1:2" s="3" customFormat="1" x14ac:dyDescent="0.2">
      <c r="A33" s="4" t="str">
        <v/>
      </c>
      <c r="B33" s="4" t="str">
        <v/>
      </c>
    </row>
    <row r="34" spans="1:2" s="3" customFormat="1" x14ac:dyDescent="0.2">
      <c r="A34" s="4" t="str">
        <v/>
      </c>
      <c r="B34" s="4" t="str">
        <v/>
      </c>
    </row>
    <row r="35" spans="1:2" s="3" customFormat="1" x14ac:dyDescent="0.2">
      <c r="A35" s="4" t="str">
        <v/>
      </c>
      <c r="B35" s="4" t="str">
        <v/>
      </c>
    </row>
    <row r="36" spans="1:2" s="3" customFormat="1" x14ac:dyDescent="0.2">
      <c r="A36" s="4" t="str">
        <v/>
      </c>
      <c r="B36" s="4" t="str">
        <v/>
      </c>
    </row>
    <row r="37" spans="1:2" s="3" customFormat="1" x14ac:dyDescent="0.2">
      <c r="A37" s="4" t="str">
        <v/>
      </c>
      <c r="B37" s="4" t="str">
        <v/>
      </c>
    </row>
    <row r="38" spans="1:2" s="3" customFormat="1" x14ac:dyDescent="0.2">
      <c r="A38" s="4" t="str">
        <v/>
      </c>
      <c r="B38" s="4" t="str">
        <v/>
      </c>
    </row>
    <row r="39" spans="1:2" s="3" customFormat="1" x14ac:dyDescent="0.2">
      <c r="A39" s="4" t="str">
        <v/>
      </c>
      <c r="B39" s="4" t="str">
        <v/>
      </c>
    </row>
    <row r="40" spans="1:2" s="3" customFormat="1" x14ac:dyDescent="0.2">
      <c r="A40" s="4" t="str">
        <v/>
      </c>
      <c r="B40" s="4" t="str">
        <v/>
      </c>
    </row>
    <row r="41" spans="1:2" s="3" customFormat="1" x14ac:dyDescent="0.2">
      <c r="A41" s="4" t="str">
        <v/>
      </c>
      <c r="B41" s="4" t="str">
        <v/>
      </c>
    </row>
    <row r="42" spans="1:2" s="3" customFormat="1" x14ac:dyDescent="0.2">
      <c r="A42" s="4" t="str">
        <v/>
      </c>
      <c r="B42" s="4" t="str">
        <v/>
      </c>
    </row>
    <row r="43" spans="1:2" s="3" customFormat="1" x14ac:dyDescent="0.2">
      <c r="A43" s="4" t="str">
        <v/>
      </c>
      <c r="B43" s="4" t="str">
        <v/>
      </c>
    </row>
    <row r="44" spans="1:2" s="3" customFormat="1" x14ac:dyDescent="0.2">
      <c r="A44" s="4" t="str">
        <v/>
      </c>
      <c r="B44" s="4" t="str">
        <v/>
      </c>
    </row>
    <row r="45" spans="1:2" s="3" customFormat="1" x14ac:dyDescent="0.2">
      <c r="A45" s="4" t="str">
        <v/>
      </c>
      <c r="B45" s="4" t="str">
        <v/>
      </c>
    </row>
    <row r="46" spans="1:2" s="3" customFormat="1" x14ac:dyDescent="0.2">
      <c r="A46" s="4" t="str">
        <v/>
      </c>
      <c r="B46" s="4" t="str">
        <v/>
      </c>
    </row>
    <row r="47" spans="1:2" s="3" customFormat="1" x14ac:dyDescent="0.2">
      <c r="A47" s="4" t="str">
        <v/>
      </c>
      <c r="B47" s="4" t="str">
        <v/>
      </c>
    </row>
    <row r="48" spans="1:2" s="3" customFormat="1" x14ac:dyDescent="0.2">
      <c r="A48" s="4" t="str">
        <v/>
      </c>
      <c r="B48" s="4" t="str">
        <v/>
      </c>
    </row>
    <row r="49" spans="1:2" s="3" customFormat="1" x14ac:dyDescent="0.2">
      <c r="A49" s="4" t="str">
        <v/>
      </c>
      <c r="B49" s="4" t="str">
        <v/>
      </c>
    </row>
    <row r="50" spans="1:2" s="3" customFormat="1" x14ac:dyDescent="0.2">
      <c r="A50" s="4" t="str">
        <v/>
      </c>
      <c r="B50" s="4" t="str">
        <v/>
      </c>
    </row>
    <row r="51" spans="1:2" s="3" customFormat="1" x14ac:dyDescent="0.2">
      <c r="A51" s="4" t="str">
        <v/>
      </c>
      <c r="B51" s="4" t="str">
        <v/>
      </c>
    </row>
    <row r="52" spans="1:2" s="3" customFormat="1" x14ac:dyDescent="0.2">
      <c r="A52" s="4" t="str">
        <v/>
      </c>
      <c r="B52" s="4" t="str">
        <v/>
      </c>
    </row>
    <row r="53" spans="1:2" s="3" customFormat="1" x14ac:dyDescent="0.2">
      <c r="A53" s="4" t="str">
        <v/>
      </c>
      <c r="B53" s="4" t="str">
        <v/>
      </c>
    </row>
    <row r="54" spans="1:2" s="3" customFormat="1" x14ac:dyDescent="0.2">
      <c r="A54" s="4" t="str">
        <v/>
      </c>
      <c r="B54" s="4" t="str">
        <v/>
      </c>
    </row>
    <row r="55" spans="1:2" s="3" customFormat="1" x14ac:dyDescent="0.2">
      <c r="A55" s="4" t="str">
        <v/>
      </c>
      <c r="B55" s="4" t="str">
        <v/>
      </c>
    </row>
    <row r="56" spans="1:2" s="3" customFormat="1" x14ac:dyDescent="0.2">
      <c r="A56" s="4" t="str">
        <v/>
      </c>
      <c r="B56" s="4" t="str">
        <v/>
      </c>
    </row>
    <row r="57" spans="1:2" s="3" customFormat="1" x14ac:dyDescent="0.2">
      <c r="A57" s="4" t="str">
        <v/>
      </c>
      <c r="B57" s="4" t="str">
        <v/>
      </c>
    </row>
    <row r="58" spans="1:2" s="3" customFormat="1" x14ac:dyDescent="0.2">
      <c r="A58" s="4" t="str">
        <v/>
      </c>
      <c r="B58" s="4" t="str">
        <v/>
      </c>
    </row>
    <row r="59" spans="1:2" s="3" customFormat="1" x14ac:dyDescent="0.2">
      <c r="A59" s="4" t="str">
        <v/>
      </c>
      <c r="B59" s="4" t="str">
        <v/>
      </c>
    </row>
    <row r="60" spans="1:2" s="3" customFormat="1" x14ac:dyDescent="0.2">
      <c r="A60" s="4" t="str">
        <v/>
      </c>
      <c r="B60" s="4" t="str">
        <v/>
      </c>
    </row>
    <row r="61" spans="1:2" s="3" customFormat="1" x14ac:dyDescent="0.2">
      <c r="A61" s="4" t="str">
        <v/>
      </c>
      <c r="B61" s="4" t="str">
        <v/>
      </c>
    </row>
    <row r="62" spans="1:2" s="3" customFormat="1" x14ac:dyDescent="0.2">
      <c r="A62" s="4" t="str">
        <v/>
      </c>
      <c r="B62" s="4" t="str">
        <v/>
      </c>
    </row>
    <row r="63" spans="1:2" s="3" customFormat="1" x14ac:dyDescent="0.2">
      <c r="A63" s="4" t="str">
        <v/>
      </c>
      <c r="B63" s="4" t="str">
        <v/>
      </c>
    </row>
    <row r="64" spans="1:2" s="3" customFormat="1" x14ac:dyDescent="0.2">
      <c r="A64" s="4" t="str">
        <v/>
      </c>
      <c r="B64" s="4" t="str">
        <v/>
      </c>
    </row>
    <row r="65" spans="1:2" s="3" customFormat="1" x14ac:dyDescent="0.2">
      <c r="A65" s="4" t="str">
        <v/>
      </c>
      <c r="B65" s="4" t="str">
        <v/>
      </c>
    </row>
    <row r="66" spans="1:2" s="3" customFormat="1" x14ac:dyDescent="0.2">
      <c r="A66" s="4" t="str">
        <v/>
      </c>
      <c r="B66" s="4" t="str">
        <v/>
      </c>
    </row>
    <row r="67" spans="1:2" s="3" customFormat="1" x14ac:dyDescent="0.2">
      <c r="A67" s="4" t="str">
        <v/>
      </c>
      <c r="B67" s="4" t="str">
        <v/>
      </c>
    </row>
    <row r="68" spans="1:2" s="3" customFormat="1" x14ac:dyDescent="0.2">
      <c r="A68" s="4" t="str">
        <v/>
      </c>
      <c r="B68" s="4" t="str">
        <v/>
      </c>
    </row>
    <row r="69" spans="1:2" s="3" customFormat="1" x14ac:dyDescent="0.2">
      <c r="A69" s="4" t="str">
        <v/>
      </c>
      <c r="B69" s="4" t="str">
        <v/>
      </c>
    </row>
    <row r="70" spans="1:2" s="3" customFormat="1" x14ac:dyDescent="0.2">
      <c r="A70" s="4" t="str">
        <v/>
      </c>
      <c r="B70" s="4" t="str">
        <v/>
      </c>
    </row>
    <row r="71" spans="1:2" s="3" customFormat="1" x14ac:dyDescent="0.2">
      <c r="A71" s="4" t="str">
        <v/>
      </c>
      <c r="B71" s="4" t="str">
        <v/>
      </c>
    </row>
    <row r="72" spans="1:2" s="3" customFormat="1" x14ac:dyDescent="0.2">
      <c r="A72" s="4" t="str">
        <v/>
      </c>
      <c r="B72" s="4" t="str">
        <v/>
      </c>
    </row>
    <row r="73" spans="1:2" s="3" customFormat="1" x14ac:dyDescent="0.2">
      <c r="A73" s="4" t="str">
        <v/>
      </c>
      <c r="B73" s="4" t="str">
        <v/>
      </c>
    </row>
    <row r="74" spans="1:2" s="3" customFormat="1" x14ac:dyDescent="0.2">
      <c r="A74" s="4" t="str">
        <v/>
      </c>
      <c r="B74" s="4" t="str">
        <v/>
      </c>
    </row>
    <row r="75" spans="1:2" s="3" customFormat="1" x14ac:dyDescent="0.2">
      <c r="A75" s="4" t="str">
        <v/>
      </c>
      <c r="B75" s="4" t="str">
        <v/>
      </c>
    </row>
    <row r="76" spans="1:2" s="3" customFormat="1" x14ac:dyDescent="0.2">
      <c r="A76" s="4" t="str">
        <v/>
      </c>
      <c r="B76" s="4" t="str">
        <v/>
      </c>
    </row>
    <row r="77" spans="1:2" s="3" customFormat="1" x14ac:dyDescent="0.2">
      <c r="A77" s="4" t="str">
        <v/>
      </c>
      <c r="B77" s="4" t="str">
        <v/>
      </c>
    </row>
    <row r="78" spans="1:2" s="3" customFormat="1" x14ac:dyDescent="0.2">
      <c r="A78" s="4" t="str">
        <v/>
      </c>
      <c r="B78" s="4" t="str">
        <v/>
      </c>
    </row>
    <row r="79" spans="1:2" s="3" customFormat="1" x14ac:dyDescent="0.2">
      <c r="A79" s="4" t="str">
        <v/>
      </c>
      <c r="B79" s="4" t="str">
        <v/>
      </c>
    </row>
    <row r="80" spans="1:2" s="3" customFormat="1" x14ac:dyDescent="0.2">
      <c r="A80" s="4" t="str">
        <v/>
      </c>
      <c r="B80" s="4" t="str">
        <v/>
      </c>
    </row>
    <row r="81" spans="1:2" s="3" customFormat="1" x14ac:dyDescent="0.2">
      <c r="A81" s="4" t="str">
        <v/>
      </c>
      <c r="B81" s="4" t="str">
        <v/>
      </c>
    </row>
    <row r="82" spans="1:2" s="3" customFormat="1" x14ac:dyDescent="0.2">
      <c r="A82" s="4" t="str">
        <v/>
      </c>
      <c r="B82" s="4" t="str">
        <v/>
      </c>
    </row>
    <row r="83" spans="1:2" s="3" customFormat="1" x14ac:dyDescent="0.2">
      <c r="A83" s="4" t="str">
        <v/>
      </c>
      <c r="B83" s="4" t="str">
        <v/>
      </c>
    </row>
    <row r="84" spans="1:2" s="3" customFormat="1" x14ac:dyDescent="0.2">
      <c r="A84" s="4" t="str">
        <v/>
      </c>
      <c r="B84" s="4" t="str">
        <v/>
      </c>
    </row>
    <row r="85" spans="1:2" s="3" customFormat="1" x14ac:dyDescent="0.2">
      <c r="A85" s="4" t="str">
        <v/>
      </c>
      <c r="B85" s="4" t="str">
        <v/>
      </c>
    </row>
    <row r="86" spans="1:2" s="3" customFormat="1" x14ac:dyDescent="0.2">
      <c r="A86" s="4" t="str">
        <v/>
      </c>
      <c r="B86" s="4" t="str">
        <v/>
      </c>
    </row>
    <row r="87" spans="1:2" s="3" customFormat="1" x14ac:dyDescent="0.2">
      <c r="A87" s="4" t="str">
        <v/>
      </c>
      <c r="B87" s="4" t="str">
        <v/>
      </c>
    </row>
    <row r="88" spans="1:2" s="3" customFormat="1" x14ac:dyDescent="0.2">
      <c r="A88" s="4" t="str">
        <v/>
      </c>
      <c r="B88" s="4" t="str">
        <v/>
      </c>
    </row>
    <row r="89" spans="1:2" s="3" customFormat="1" x14ac:dyDescent="0.2">
      <c r="A89" s="4" t="str">
        <v/>
      </c>
      <c r="B89" s="4" t="str">
        <v/>
      </c>
    </row>
    <row r="90" spans="1:2" s="3" customFormat="1" x14ac:dyDescent="0.2">
      <c r="A90" s="4" t="str">
        <v/>
      </c>
      <c r="B90" s="4" t="str">
        <v/>
      </c>
    </row>
    <row r="91" spans="1:2" s="3" customFormat="1" x14ac:dyDescent="0.2">
      <c r="A91" s="4" t="str">
        <v/>
      </c>
      <c r="B91" s="4" t="str">
        <v/>
      </c>
    </row>
    <row r="92" spans="1:2" s="3" customFormat="1" x14ac:dyDescent="0.2">
      <c r="A92" s="4" t="str">
        <v/>
      </c>
      <c r="B92" s="4" t="str">
        <v/>
      </c>
    </row>
    <row r="93" spans="1:2" s="3" customFormat="1" x14ac:dyDescent="0.2">
      <c r="A93" s="4" t="str">
        <v/>
      </c>
      <c r="B93" s="4" t="str">
        <v/>
      </c>
    </row>
    <row r="94" spans="1:2" s="3" customFormat="1" x14ac:dyDescent="0.2">
      <c r="A94" s="4" t="str">
        <v/>
      </c>
      <c r="B94" s="4" t="str">
        <v/>
      </c>
    </row>
    <row r="95" spans="1:2" s="3" customFormat="1" x14ac:dyDescent="0.2">
      <c r="A95" s="4" t="str">
        <v/>
      </c>
      <c r="B95" s="4" t="str">
        <v/>
      </c>
    </row>
    <row r="96" spans="1:2" s="3" customFormat="1" x14ac:dyDescent="0.2">
      <c r="A96" s="4" t="str">
        <v/>
      </c>
      <c r="B96" s="4" t="str">
        <v/>
      </c>
    </row>
    <row r="97" spans="1:2" s="3" customFormat="1" x14ac:dyDescent="0.2">
      <c r="A97" s="4" t="str">
        <v/>
      </c>
      <c r="B97" s="4" t="str">
        <v/>
      </c>
    </row>
    <row r="98" spans="1:2" s="3" customFormat="1" x14ac:dyDescent="0.2">
      <c r="A98" s="4" t="str">
        <v/>
      </c>
      <c r="B98" s="4" t="str">
        <v/>
      </c>
    </row>
    <row r="99" spans="1:2" s="3" customFormat="1" x14ac:dyDescent="0.2">
      <c r="A99" s="4" t="str">
        <v/>
      </c>
      <c r="B99" s="4" t="str">
        <v/>
      </c>
    </row>
    <row r="100" spans="1:2" s="3" customFormat="1" x14ac:dyDescent="0.2">
      <c r="A100" s="4" t="str">
        <v/>
      </c>
      <c r="B100" s="4" t="str">
        <v/>
      </c>
    </row>
    <row r="101" spans="1:2" s="3" customFormat="1" x14ac:dyDescent="0.2"/>
    <row r="102" spans="1:2" s="3" customFormat="1" x14ac:dyDescent="0.2"/>
    <row r="103" spans="1:2" s="3" customFormat="1" x14ac:dyDescent="0.2"/>
    <row r="104" spans="1:2" s="3" customFormat="1" x14ac:dyDescent="0.2"/>
    <row r="105" spans="1:2" s="3" customFormat="1" x14ac:dyDescent="0.2"/>
    <row r="106" spans="1:2" s="3" customFormat="1" x14ac:dyDescent="0.2"/>
    <row r="107" spans="1:2" s="3" customFormat="1" x14ac:dyDescent="0.2"/>
    <row r="108" spans="1:2" s="3" customFormat="1" x14ac:dyDescent="0.2"/>
    <row r="109" spans="1:2" s="3" customFormat="1" x14ac:dyDescent="0.2"/>
    <row r="110" spans="1:2" s="3" customFormat="1" x14ac:dyDescent="0.2"/>
    <row r="111" spans="1:2" s="3" customFormat="1" x14ac:dyDescent="0.2"/>
    <row r="112" spans="1:2"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1:C1">
    <cfRule type="notContainsErrors" dxfId="40" priority="1">
      <formula>NOT(ISERROR(A1))</formula>
    </cfRule>
  </conditionalFormatting>
  <conditionalFormatting sqref="A2:N3">
    <cfRule type="notContainsErrors" dxfId="39" priority="9">
      <formula>NOT(ISERROR(A2))</formula>
    </cfRule>
  </conditionalFormatting>
  <conditionalFormatting sqref="A4:N4">
    <cfRule type="notContainsErrors" dxfId="38" priority="8">
      <formula>NOT(ISERROR(A4))</formula>
    </cfRule>
  </conditionalFormatting>
  <conditionalFormatting sqref="H1">
    <cfRule type="notContainsErrors" dxfId="37" priority="4">
      <formula>NOT(ISERROR(H1))</formula>
    </cfRule>
  </conditionalFormatting>
  <conditionalFormatting sqref="L1:N1">
    <cfRule type="notContainsErrors" dxfId="36" priority="5">
      <formula>NOT(ISERROR(L1))</formula>
    </cfRule>
  </conditionalFormatting>
  <dataValidations count="2">
    <dataValidation type="list" allowBlank="1" showInputMessage="1" showErrorMessage="1" sqref="E5:E1048576" xr:uid="{00000000-0002-0000-0300-000000000000}">
      <formula1>"10x Nuclei Isolation Kit,3' standard throughput kit,Custom"</formula1>
    </dataValidation>
    <dataValidation type="list" allowBlank="1" showInputMessage="1" showErrorMessage="1" sqref="M5:M1048576" xr:uid="{00000000-0002-0000-0300-000001000000}">
      <formula1>"Fine needle trituration,Fluids,Mechanical dissociation,Mesh passage,Proteolysis"</formula1>
    </dataValidation>
  </dataValidations>
  <hyperlinks>
    <hyperlink ref="G3" r:id="rId1" xr:uid="{00000000-0004-0000-0300-000000000000}"/>
    <hyperlink ref="H3" r:id="rId2" xr:uid="{00000000-0004-0000-0300-000001000000}"/>
    <hyperlink ref="I3" r:id="rId3" xr:uid="{00000000-0004-0000-03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04"/>
  <sheetViews>
    <sheetView workbookViewId="0">
      <selection activeCell="C5" sqref="C5:O5"/>
    </sheetView>
  </sheetViews>
  <sheetFormatPr baseColWidth="10" defaultColWidth="8.83203125" defaultRowHeight="15" x14ac:dyDescent="0.2"/>
  <cols>
    <col min="1" max="1" width="47.6640625" style="1" customWidth="1"/>
    <col min="2" max="2" width="65.6640625" style="1" customWidth="1"/>
    <col min="3" max="3" width="70.6640625" style="1" customWidth="1"/>
    <col min="4" max="4" width="69.6640625" style="1" customWidth="1"/>
    <col min="5" max="5" width="70.6640625" style="1" customWidth="1"/>
    <col min="6" max="6" width="56.6640625" style="1" customWidth="1"/>
    <col min="7" max="7" width="69.6640625" style="1" customWidth="1"/>
    <col min="8" max="9" width="70.6640625" style="1" customWidth="1"/>
    <col min="10" max="10" width="56.6640625" style="1" customWidth="1"/>
    <col min="11" max="11" width="65.6640625" style="1" customWidth="1"/>
    <col min="12" max="12" width="43.6640625" style="1" customWidth="1"/>
    <col min="13" max="14" width="70.6640625" style="1" customWidth="1"/>
    <col min="15" max="15" width="50.6640625" style="1" customWidth="1"/>
  </cols>
  <sheetData>
    <row r="1" spans="1:15" ht="16" x14ac:dyDescent="0.2">
      <c r="A1" s="1" t="s">
        <v>0</v>
      </c>
      <c r="B1" s="1" t="s">
        <v>93</v>
      </c>
      <c r="C1" s="1" t="s">
        <v>41</v>
      </c>
      <c r="D1" s="1" t="s">
        <v>54</v>
      </c>
      <c r="E1" s="1" t="s">
        <v>97</v>
      </c>
      <c r="F1" s="1" t="s">
        <v>100</v>
      </c>
      <c r="G1" s="1" t="s">
        <v>102</v>
      </c>
      <c r="H1" s="1" t="s">
        <v>105</v>
      </c>
      <c r="I1" s="1" t="s">
        <v>108</v>
      </c>
      <c r="J1" s="1" t="s">
        <v>111</v>
      </c>
      <c r="K1" s="1" t="s">
        <v>114</v>
      </c>
      <c r="L1" s="1" t="s">
        <v>117</v>
      </c>
      <c r="M1" s="1" t="s">
        <v>120</v>
      </c>
      <c r="N1" s="1" t="s">
        <v>122</v>
      </c>
      <c r="O1" s="1" t="s">
        <v>90</v>
      </c>
    </row>
    <row r="2" spans="1:15" ht="64" x14ac:dyDescent="0.2">
      <c r="A2" s="1" t="s">
        <v>1</v>
      </c>
      <c r="B2" s="1" t="s">
        <v>94</v>
      </c>
      <c r="C2" s="1" t="s">
        <v>96</v>
      </c>
      <c r="D2" s="1" t="s">
        <v>55</v>
      </c>
      <c r="E2" s="1" t="s">
        <v>98</v>
      </c>
      <c r="F2" s="1" t="s">
        <v>101</v>
      </c>
      <c r="G2" s="1" t="s">
        <v>103</v>
      </c>
      <c r="H2" s="1" t="s">
        <v>106</v>
      </c>
      <c r="I2" s="1" t="s">
        <v>109</v>
      </c>
      <c r="J2" s="1" t="s">
        <v>112</v>
      </c>
      <c r="K2" s="1" t="s">
        <v>115</v>
      </c>
      <c r="L2" s="1" t="s">
        <v>118</v>
      </c>
      <c r="M2" s="1" t="s">
        <v>121</v>
      </c>
      <c r="N2" s="1" t="s">
        <v>123</v>
      </c>
      <c r="O2" s="1" t="s">
        <v>91</v>
      </c>
    </row>
    <row r="3" spans="1:15" ht="16" x14ac:dyDescent="0.2">
      <c r="A3" s="1" t="s">
        <v>2</v>
      </c>
      <c r="B3" s="1" t="s">
        <v>95</v>
      </c>
      <c r="C3" s="1" t="s">
        <v>43</v>
      </c>
      <c r="D3" s="1" t="s">
        <v>56</v>
      </c>
      <c r="E3" s="1" t="s">
        <v>99</v>
      </c>
      <c r="G3" s="1" t="s">
        <v>104</v>
      </c>
      <c r="H3" s="1" t="s">
        <v>107</v>
      </c>
      <c r="I3" s="1" t="s">
        <v>110</v>
      </c>
      <c r="J3" s="1" t="s">
        <v>113</v>
      </c>
      <c r="K3" s="1" t="s">
        <v>116</v>
      </c>
      <c r="L3" s="1" t="s">
        <v>119</v>
      </c>
      <c r="M3" s="1" t="s">
        <v>113</v>
      </c>
      <c r="N3" s="1" t="s">
        <v>124</v>
      </c>
      <c r="O3" s="1" t="s">
        <v>125</v>
      </c>
    </row>
    <row r="4" spans="1:15" x14ac:dyDescent="0.2">
      <c r="A4" s="2" t="s">
        <v>18</v>
      </c>
    </row>
    <row r="5" spans="1:15" s="3" customFormat="1" ht="16" x14ac:dyDescent="0.2">
      <c r="A5" s="4" t="str">
        <f t="array" ref="A5:A100">IF(ISBLANK(C5:C100)*ISBLANK(D5:D100)*ISBLANK(E5:E100)*ISBLANK(F5:F100), "", IF(study!$A$5 &lt;&gt; "", study!$A$5, "" ))</f>
        <v>STUDY004</v>
      </c>
      <c r="B5" s="4" t="str">
        <f t="array" ref="B5:B100">IF(ISBLANK(C5:C100)*ISBLANK(D5:D100)*ISBLANK(E5:E100)*ISBLANK(F5:F100), "", CONCATENATE("CELLSUSP", TEXT(ROW()-4,"000")))</f>
        <v>CELLSUSP001</v>
      </c>
      <c r="C5" s="3" t="s">
        <v>43</v>
      </c>
      <c r="D5" s="3" t="s">
        <v>56</v>
      </c>
      <c r="E5" s="3" t="s">
        <v>99</v>
      </c>
      <c r="F5" s="3" t="s">
        <v>581</v>
      </c>
      <c r="G5" s="3" t="s">
        <v>104</v>
      </c>
      <c r="H5" s="3" t="s">
        <v>107</v>
      </c>
      <c r="I5" s="3" t="s">
        <v>110</v>
      </c>
      <c r="J5" s="3" t="s">
        <v>113</v>
      </c>
      <c r="K5" s="3" t="s">
        <v>116</v>
      </c>
      <c r="L5" s="3" t="s">
        <v>119</v>
      </c>
      <c r="M5" s="3" t="s">
        <v>113</v>
      </c>
      <c r="N5" s="3" t="s">
        <v>124</v>
      </c>
      <c r="O5" s="3" t="s">
        <v>125</v>
      </c>
    </row>
    <row r="6" spans="1:15" s="3" customFormat="1" x14ac:dyDescent="0.2">
      <c r="A6" s="4" t="str">
        <v/>
      </c>
      <c r="B6" s="4" t="str">
        <v/>
      </c>
    </row>
    <row r="7" spans="1:15" s="3" customFormat="1" x14ac:dyDescent="0.2">
      <c r="A7" s="4" t="str">
        <v/>
      </c>
      <c r="B7" s="4" t="str">
        <v/>
      </c>
    </row>
    <row r="8" spans="1:15" s="3" customFormat="1" x14ac:dyDescent="0.2">
      <c r="A8" s="4" t="str">
        <v/>
      </c>
      <c r="B8" s="4" t="str">
        <v/>
      </c>
    </row>
    <row r="9" spans="1:15" s="3" customFormat="1" x14ac:dyDescent="0.2">
      <c r="A9" s="4" t="str">
        <v/>
      </c>
      <c r="B9" s="4" t="str">
        <v/>
      </c>
    </row>
    <row r="10" spans="1:15" s="3" customFormat="1" x14ac:dyDescent="0.2">
      <c r="A10" s="4" t="str">
        <v/>
      </c>
      <c r="B10" s="4" t="str">
        <v/>
      </c>
    </row>
    <row r="11" spans="1:15" s="3" customFormat="1" x14ac:dyDescent="0.2">
      <c r="A11" s="4" t="str">
        <v/>
      </c>
      <c r="B11" s="4" t="str">
        <v/>
      </c>
    </row>
    <row r="12" spans="1:15" s="3" customFormat="1" x14ac:dyDescent="0.2">
      <c r="A12" s="4" t="str">
        <v/>
      </c>
      <c r="B12" s="4" t="str">
        <v/>
      </c>
    </row>
    <row r="13" spans="1:15" s="3" customFormat="1" x14ac:dyDescent="0.2">
      <c r="A13" s="4" t="str">
        <v/>
      </c>
      <c r="B13" s="4" t="str">
        <v/>
      </c>
    </row>
    <row r="14" spans="1:15" s="3" customFormat="1" x14ac:dyDescent="0.2">
      <c r="A14" s="4" t="str">
        <v/>
      </c>
      <c r="B14" s="4" t="str">
        <v/>
      </c>
    </row>
    <row r="15" spans="1:15" s="3" customFormat="1" x14ac:dyDescent="0.2">
      <c r="A15" s="4" t="str">
        <v/>
      </c>
      <c r="B15" s="4" t="str">
        <v/>
      </c>
    </row>
    <row r="16" spans="1:15" s="3" customFormat="1" x14ac:dyDescent="0.2">
      <c r="A16" s="4" t="str">
        <v/>
      </c>
      <c r="B16" s="4" t="str">
        <v/>
      </c>
    </row>
    <row r="17" spans="1:2" s="3" customFormat="1" x14ac:dyDescent="0.2">
      <c r="A17" s="4" t="str">
        <v/>
      </c>
      <c r="B17" s="4" t="str">
        <v/>
      </c>
    </row>
    <row r="18" spans="1:2" s="3" customFormat="1" x14ac:dyDescent="0.2">
      <c r="A18" s="4" t="str">
        <v/>
      </c>
      <c r="B18" s="4" t="str">
        <v/>
      </c>
    </row>
    <row r="19" spans="1:2" s="3" customFormat="1" x14ac:dyDescent="0.2">
      <c r="A19" s="4" t="str">
        <v/>
      </c>
      <c r="B19" s="4" t="str">
        <v/>
      </c>
    </row>
    <row r="20" spans="1:2" s="3" customFormat="1" x14ac:dyDescent="0.2">
      <c r="A20" s="4" t="str">
        <v/>
      </c>
      <c r="B20" s="4" t="str">
        <v/>
      </c>
    </row>
    <row r="21" spans="1:2" s="3" customFormat="1" x14ac:dyDescent="0.2">
      <c r="A21" s="4" t="str">
        <v/>
      </c>
      <c r="B21" s="4" t="str">
        <v/>
      </c>
    </row>
    <row r="22" spans="1:2" s="3" customFormat="1" x14ac:dyDescent="0.2">
      <c r="A22" s="4" t="str">
        <v/>
      </c>
      <c r="B22" s="4" t="str">
        <v/>
      </c>
    </row>
    <row r="23" spans="1:2" s="3" customFormat="1" x14ac:dyDescent="0.2">
      <c r="A23" s="4" t="str">
        <v/>
      </c>
      <c r="B23" s="4" t="str">
        <v/>
      </c>
    </row>
    <row r="24" spans="1:2" s="3" customFormat="1" x14ac:dyDescent="0.2">
      <c r="A24" s="4" t="str">
        <v/>
      </c>
      <c r="B24" s="4" t="str">
        <v/>
      </c>
    </row>
    <row r="25" spans="1:2" s="3" customFormat="1" x14ac:dyDescent="0.2">
      <c r="A25" s="4" t="str">
        <v/>
      </c>
      <c r="B25" s="4" t="str">
        <v/>
      </c>
    </row>
    <row r="26" spans="1:2" s="3" customFormat="1" x14ac:dyDescent="0.2">
      <c r="A26" s="4" t="str">
        <v/>
      </c>
      <c r="B26" s="4" t="str">
        <v/>
      </c>
    </row>
    <row r="27" spans="1:2" s="3" customFormat="1" x14ac:dyDescent="0.2">
      <c r="A27" s="4" t="str">
        <v/>
      </c>
      <c r="B27" s="4" t="str">
        <v/>
      </c>
    </row>
    <row r="28" spans="1:2" s="3" customFormat="1" x14ac:dyDescent="0.2">
      <c r="A28" s="4" t="str">
        <v/>
      </c>
      <c r="B28" s="4" t="str">
        <v/>
      </c>
    </row>
    <row r="29" spans="1:2" s="3" customFormat="1" x14ac:dyDescent="0.2">
      <c r="A29" s="4" t="str">
        <v/>
      </c>
      <c r="B29" s="4" t="str">
        <v/>
      </c>
    </row>
    <row r="30" spans="1:2" s="3" customFormat="1" x14ac:dyDescent="0.2">
      <c r="A30" s="4" t="str">
        <v/>
      </c>
      <c r="B30" s="4" t="str">
        <v/>
      </c>
    </row>
    <row r="31" spans="1:2" s="3" customFormat="1" x14ac:dyDescent="0.2">
      <c r="A31" s="4" t="str">
        <v/>
      </c>
      <c r="B31" s="4" t="str">
        <v/>
      </c>
    </row>
    <row r="32" spans="1:2" s="3" customFormat="1" x14ac:dyDescent="0.2">
      <c r="A32" s="4" t="str">
        <v/>
      </c>
      <c r="B32" s="4" t="str">
        <v/>
      </c>
    </row>
    <row r="33" spans="1:2" s="3" customFormat="1" x14ac:dyDescent="0.2">
      <c r="A33" s="4" t="str">
        <v/>
      </c>
      <c r="B33" s="4" t="str">
        <v/>
      </c>
    </row>
    <row r="34" spans="1:2" s="3" customFormat="1" x14ac:dyDescent="0.2">
      <c r="A34" s="4" t="str">
        <v/>
      </c>
      <c r="B34" s="4" t="str">
        <v/>
      </c>
    </row>
    <row r="35" spans="1:2" s="3" customFormat="1" x14ac:dyDescent="0.2">
      <c r="A35" s="4" t="str">
        <v/>
      </c>
      <c r="B35" s="4" t="str">
        <v/>
      </c>
    </row>
    <row r="36" spans="1:2" s="3" customFormat="1" x14ac:dyDescent="0.2">
      <c r="A36" s="4" t="str">
        <v/>
      </c>
      <c r="B36" s="4" t="str">
        <v/>
      </c>
    </row>
    <row r="37" spans="1:2" s="3" customFormat="1" x14ac:dyDescent="0.2">
      <c r="A37" s="4" t="str">
        <v/>
      </c>
      <c r="B37" s="4" t="str">
        <v/>
      </c>
    </row>
    <row r="38" spans="1:2" s="3" customFormat="1" x14ac:dyDescent="0.2">
      <c r="A38" s="4" t="str">
        <v/>
      </c>
      <c r="B38" s="4" t="str">
        <v/>
      </c>
    </row>
    <row r="39" spans="1:2" s="3" customFormat="1" x14ac:dyDescent="0.2">
      <c r="A39" s="4" t="str">
        <v/>
      </c>
      <c r="B39" s="4" t="str">
        <v/>
      </c>
    </row>
    <row r="40" spans="1:2" s="3" customFormat="1" x14ac:dyDescent="0.2">
      <c r="A40" s="4" t="str">
        <v/>
      </c>
      <c r="B40" s="4" t="str">
        <v/>
      </c>
    </row>
    <row r="41" spans="1:2" s="3" customFormat="1" x14ac:dyDescent="0.2">
      <c r="A41" s="4" t="str">
        <v/>
      </c>
      <c r="B41" s="4" t="str">
        <v/>
      </c>
    </row>
    <row r="42" spans="1:2" s="3" customFormat="1" x14ac:dyDescent="0.2">
      <c r="A42" s="4" t="str">
        <v/>
      </c>
      <c r="B42" s="4" t="str">
        <v/>
      </c>
    </row>
    <row r="43" spans="1:2" s="3" customFormat="1" x14ac:dyDescent="0.2">
      <c r="A43" s="4" t="str">
        <v/>
      </c>
      <c r="B43" s="4" t="str">
        <v/>
      </c>
    </row>
    <row r="44" spans="1:2" s="3" customFormat="1" x14ac:dyDescent="0.2">
      <c r="A44" s="4" t="str">
        <v/>
      </c>
      <c r="B44" s="4" t="str">
        <v/>
      </c>
    </row>
    <row r="45" spans="1:2" s="3" customFormat="1" x14ac:dyDescent="0.2">
      <c r="A45" s="4" t="str">
        <v/>
      </c>
      <c r="B45" s="4" t="str">
        <v/>
      </c>
    </row>
    <row r="46" spans="1:2" s="3" customFormat="1" x14ac:dyDescent="0.2">
      <c r="A46" s="4" t="str">
        <v/>
      </c>
      <c r="B46" s="4" t="str">
        <v/>
      </c>
    </row>
    <row r="47" spans="1:2" s="3" customFormat="1" x14ac:dyDescent="0.2">
      <c r="A47" s="4" t="str">
        <v/>
      </c>
      <c r="B47" s="4" t="str">
        <v/>
      </c>
    </row>
    <row r="48" spans="1:2" s="3" customFormat="1" x14ac:dyDescent="0.2">
      <c r="A48" s="4" t="str">
        <v/>
      </c>
      <c r="B48" s="4" t="str">
        <v/>
      </c>
    </row>
    <row r="49" spans="1:2" s="3" customFormat="1" x14ac:dyDescent="0.2">
      <c r="A49" s="4" t="str">
        <v/>
      </c>
      <c r="B49" s="4" t="str">
        <v/>
      </c>
    </row>
    <row r="50" spans="1:2" s="3" customFormat="1" x14ac:dyDescent="0.2">
      <c r="A50" s="4" t="str">
        <v/>
      </c>
      <c r="B50" s="4" t="str">
        <v/>
      </c>
    </row>
    <row r="51" spans="1:2" s="3" customFormat="1" x14ac:dyDescent="0.2">
      <c r="A51" s="4" t="str">
        <v/>
      </c>
      <c r="B51" s="4" t="str">
        <v/>
      </c>
    </row>
    <row r="52" spans="1:2" s="3" customFormat="1" x14ac:dyDescent="0.2">
      <c r="A52" s="4" t="str">
        <v/>
      </c>
      <c r="B52" s="4" t="str">
        <v/>
      </c>
    </row>
    <row r="53" spans="1:2" s="3" customFormat="1" x14ac:dyDescent="0.2">
      <c r="A53" s="4" t="str">
        <v/>
      </c>
      <c r="B53" s="4" t="str">
        <v/>
      </c>
    </row>
    <row r="54" spans="1:2" s="3" customFormat="1" x14ac:dyDescent="0.2">
      <c r="A54" s="4" t="str">
        <v/>
      </c>
      <c r="B54" s="4" t="str">
        <v/>
      </c>
    </row>
    <row r="55" spans="1:2" s="3" customFormat="1" x14ac:dyDescent="0.2">
      <c r="A55" s="4" t="str">
        <v/>
      </c>
      <c r="B55" s="4" t="str">
        <v/>
      </c>
    </row>
    <row r="56" spans="1:2" s="3" customFormat="1" x14ac:dyDescent="0.2">
      <c r="A56" s="4" t="str">
        <v/>
      </c>
      <c r="B56" s="4" t="str">
        <v/>
      </c>
    </row>
    <row r="57" spans="1:2" s="3" customFormat="1" x14ac:dyDescent="0.2">
      <c r="A57" s="4" t="str">
        <v/>
      </c>
      <c r="B57" s="4" t="str">
        <v/>
      </c>
    </row>
    <row r="58" spans="1:2" s="3" customFormat="1" x14ac:dyDescent="0.2">
      <c r="A58" s="4" t="str">
        <v/>
      </c>
      <c r="B58" s="4" t="str">
        <v/>
      </c>
    </row>
    <row r="59" spans="1:2" s="3" customFormat="1" x14ac:dyDescent="0.2">
      <c r="A59" s="4" t="str">
        <v/>
      </c>
      <c r="B59" s="4" t="str">
        <v/>
      </c>
    </row>
    <row r="60" spans="1:2" s="3" customFormat="1" x14ac:dyDescent="0.2">
      <c r="A60" s="4" t="str">
        <v/>
      </c>
      <c r="B60" s="4" t="str">
        <v/>
      </c>
    </row>
    <row r="61" spans="1:2" s="3" customFormat="1" x14ac:dyDescent="0.2">
      <c r="A61" s="4" t="str">
        <v/>
      </c>
      <c r="B61" s="4" t="str">
        <v/>
      </c>
    </row>
    <row r="62" spans="1:2" s="3" customFormat="1" x14ac:dyDescent="0.2">
      <c r="A62" s="4" t="str">
        <v/>
      </c>
      <c r="B62" s="4" t="str">
        <v/>
      </c>
    </row>
    <row r="63" spans="1:2" s="3" customFormat="1" x14ac:dyDescent="0.2">
      <c r="A63" s="4" t="str">
        <v/>
      </c>
      <c r="B63" s="4" t="str">
        <v/>
      </c>
    </row>
    <row r="64" spans="1:2" s="3" customFormat="1" x14ac:dyDescent="0.2">
      <c r="A64" s="4" t="str">
        <v/>
      </c>
      <c r="B64" s="4" t="str">
        <v/>
      </c>
    </row>
    <row r="65" spans="1:2" s="3" customFormat="1" x14ac:dyDescent="0.2">
      <c r="A65" s="4" t="str">
        <v/>
      </c>
      <c r="B65" s="4" t="str">
        <v/>
      </c>
    </row>
    <row r="66" spans="1:2" s="3" customFormat="1" x14ac:dyDescent="0.2">
      <c r="A66" s="4" t="str">
        <v/>
      </c>
      <c r="B66" s="4" t="str">
        <v/>
      </c>
    </row>
    <row r="67" spans="1:2" s="3" customFormat="1" x14ac:dyDescent="0.2">
      <c r="A67" s="4" t="str">
        <v/>
      </c>
      <c r="B67" s="4" t="str">
        <v/>
      </c>
    </row>
    <row r="68" spans="1:2" s="3" customFormat="1" x14ac:dyDescent="0.2">
      <c r="A68" s="4" t="str">
        <v/>
      </c>
      <c r="B68" s="4" t="str">
        <v/>
      </c>
    </row>
    <row r="69" spans="1:2" s="3" customFormat="1" x14ac:dyDescent="0.2">
      <c r="A69" s="4" t="str">
        <v/>
      </c>
      <c r="B69" s="4" t="str">
        <v/>
      </c>
    </row>
    <row r="70" spans="1:2" s="3" customFormat="1" x14ac:dyDescent="0.2">
      <c r="A70" s="4" t="str">
        <v/>
      </c>
      <c r="B70" s="4" t="str">
        <v/>
      </c>
    </row>
    <row r="71" spans="1:2" s="3" customFormat="1" x14ac:dyDescent="0.2">
      <c r="A71" s="4" t="str">
        <v/>
      </c>
      <c r="B71" s="4" t="str">
        <v/>
      </c>
    </row>
    <row r="72" spans="1:2" s="3" customFormat="1" x14ac:dyDescent="0.2">
      <c r="A72" s="4" t="str">
        <v/>
      </c>
      <c r="B72" s="4" t="str">
        <v/>
      </c>
    </row>
    <row r="73" spans="1:2" s="3" customFormat="1" x14ac:dyDescent="0.2">
      <c r="A73" s="4" t="str">
        <v/>
      </c>
      <c r="B73" s="4" t="str">
        <v/>
      </c>
    </row>
    <row r="74" spans="1:2" s="3" customFormat="1" x14ac:dyDescent="0.2">
      <c r="A74" s="4" t="str">
        <v/>
      </c>
      <c r="B74" s="4" t="str">
        <v/>
      </c>
    </row>
    <row r="75" spans="1:2" s="3" customFormat="1" x14ac:dyDescent="0.2">
      <c r="A75" s="4" t="str">
        <v/>
      </c>
      <c r="B75" s="4" t="str">
        <v/>
      </c>
    </row>
    <row r="76" spans="1:2" s="3" customFormat="1" x14ac:dyDescent="0.2">
      <c r="A76" s="4" t="str">
        <v/>
      </c>
      <c r="B76" s="4" t="str">
        <v/>
      </c>
    </row>
    <row r="77" spans="1:2" s="3" customFormat="1" x14ac:dyDescent="0.2">
      <c r="A77" s="4" t="str">
        <v/>
      </c>
      <c r="B77" s="4" t="str">
        <v/>
      </c>
    </row>
    <row r="78" spans="1:2" s="3" customFormat="1" x14ac:dyDescent="0.2">
      <c r="A78" s="4" t="str">
        <v/>
      </c>
      <c r="B78" s="4" t="str">
        <v/>
      </c>
    </row>
    <row r="79" spans="1:2" s="3" customFormat="1" x14ac:dyDescent="0.2">
      <c r="A79" s="4" t="str">
        <v/>
      </c>
      <c r="B79" s="4" t="str">
        <v/>
      </c>
    </row>
    <row r="80" spans="1:2" s="3" customFormat="1" x14ac:dyDescent="0.2">
      <c r="A80" s="4" t="str">
        <v/>
      </c>
      <c r="B80" s="4" t="str">
        <v/>
      </c>
    </row>
    <row r="81" spans="1:2" s="3" customFormat="1" x14ac:dyDescent="0.2">
      <c r="A81" s="4" t="str">
        <v/>
      </c>
      <c r="B81" s="4" t="str">
        <v/>
      </c>
    </row>
    <row r="82" spans="1:2" s="3" customFormat="1" x14ac:dyDescent="0.2">
      <c r="A82" s="4" t="str">
        <v/>
      </c>
      <c r="B82" s="4" t="str">
        <v/>
      </c>
    </row>
    <row r="83" spans="1:2" s="3" customFormat="1" x14ac:dyDescent="0.2">
      <c r="A83" s="4" t="str">
        <v/>
      </c>
      <c r="B83" s="4" t="str">
        <v/>
      </c>
    </row>
    <row r="84" spans="1:2" s="3" customFormat="1" x14ac:dyDescent="0.2">
      <c r="A84" s="4" t="str">
        <v/>
      </c>
      <c r="B84" s="4" t="str">
        <v/>
      </c>
    </row>
    <row r="85" spans="1:2" s="3" customFormat="1" x14ac:dyDescent="0.2">
      <c r="A85" s="4" t="str">
        <v/>
      </c>
      <c r="B85" s="4" t="str">
        <v/>
      </c>
    </row>
    <row r="86" spans="1:2" s="3" customFormat="1" x14ac:dyDescent="0.2">
      <c r="A86" s="4" t="str">
        <v/>
      </c>
      <c r="B86" s="4" t="str">
        <v/>
      </c>
    </row>
    <row r="87" spans="1:2" s="3" customFormat="1" x14ac:dyDescent="0.2">
      <c r="A87" s="4" t="str">
        <v/>
      </c>
      <c r="B87" s="4" t="str">
        <v/>
      </c>
    </row>
    <row r="88" spans="1:2" s="3" customFormat="1" x14ac:dyDescent="0.2">
      <c r="A88" s="4" t="str">
        <v/>
      </c>
      <c r="B88" s="4" t="str">
        <v/>
      </c>
    </row>
    <row r="89" spans="1:2" s="3" customFormat="1" x14ac:dyDescent="0.2">
      <c r="A89" s="4" t="str">
        <v/>
      </c>
      <c r="B89" s="4" t="str">
        <v/>
      </c>
    </row>
    <row r="90" spans="1:2" s="3" customFormat="1" x14ac:dyDescent="0.2">
      <c r="A90" s="4" t="str">
        <v/>
      </c>
      <c r="B90" s="4" t="str">
        <v/>
      </c>
    </row>
    <row r="91" spans="1:2" s="3" customFormat="1" x14ac:dyDescent="0.2">
      <c r="A91" s="4" t="str">
        <v/>
      </c>
      <c r="B91" s="4" t="str">
        <v/>
      </c>
    </row>
    <row r="92" spans="1:2" s="3" customFormat="1" x14ac:dyDescent="0.2">
      <c r="A92" s="4" t="str">
        <v/>
      </c>
      <c r="B92" s="4" t="str">
        <v/>
      </c>
    </row>
    <row r="93" spans="1:2" s="3" customFormat="1" x14ac:dyDescent="0.2">
      <c r="A93" s="4" t="str">
        <v/>
      </c>
      <c r="B93" s="4" t="str">
        <v/>
      </c>
    </row>
    <row r="94" spans="1:2" s="3" customFormat="1" x14ac:dyDescent="0.2">
      <c r="A94" s="4" t="str">
        <v/>
      </c>
      <c r="B94" s="4" t="str">
        <v/>
      </c>
    </row>
    <row r="95" spans="1:2" s="3" customFormat="1" x14ac:dyDescent="0.2">
      <c r="A95" s="4" t="str">
        <v/>
      </c>
      <c r="B95" s="4" t="str">
        <v/>
      </c>
    </row>
    <row r="96" spans="1:2" s="3" customFormat="1" x14ac:dyDescent="0.2">
      <c r="A96" s="4" t="str">
        <v/>
      </c>
      <c r="B96" s="4" t="str">
        <v/>
      </c>
    </row>
    <row r="97" spans="1:2" s="3" customFormat="1" x14ac:dyDescent="0.2">
      <c r="A97" s="4" t="str">
        <v/>
      </c>
      <c r="B97" s="4" t="str">
        <v/>
      </c>
    </row>
    <row r="98" spans="1:2" s="3" customFormat="1" x14ac:dyDescent="0.2">
      <c r="A98" s="4" t="str">
        <v/>
      </c>
      <c r="B98" s="4" t="str">
        <v/>
      </c>
    </row>
    <row r="99" spans="1:2" s="3" customFormat="1" x14ac:dyDescent="0.2">
      <c r="A99" s="4" t="str">
        <v/>
      </c>
      <c r="B99" s="4" t="str">
        <v/>
      </c>
    </row>
    <row r="100" spans="1:2" s="3" customFormat="1" x14ac:dyDescent="0.2">
      <c r="A100" s="4" t="str">
        <v/>
      </c>
      <c r="B100" s="4" t="str">
        <v/>
      </c>
    </row>
    <row r="101" spans="1:2" s="3" customFormat="1" x14ac:dyDescent="0.2"/>
    <row r="102" spans="1:2" s="3" customFormat="1" x14ac:dyDescent="0.2"/>
    <row r="103" spans="1:2" s="3" customFormat="1" x14ac:dyDescent="0.2"/>
    <row r="104" spans="1:2" s="3" customFormat="1" x14ac:dyDescent="0.2"/>
    <row r="105" spans="1:2" s="3" customFormat="1" x14ac:dyDescent="0.2"/>
    <row r="106" spans="1:2" s="3" customFormat="1" x14ac:dyDescent="0.2"/>
    <row r="107" spans="1:2" s="3" customFormat="1" x14ac:dyDescent="0.2"/>
    <row r="108" spans="1:2" s="3" customFormat="1" x14ac:dyDescent="0.2"/>
    <row r="109" spans="1:2" s="3" customFormat="1" x14ac:dyDescent="0.2"/>
    <row r="110" spans="1:2" s="3" customFormat="1" x14ac:dyDescent="0.2"/>
    <row r="111" spans="1:2" s="3" customFormat="1" x14ac:dyDescent="0.2"/>
    <row r="112" spans="1:2"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1:F1">
    <cfRule type="notContainsErrors" dxfId="35" priority="1">
      <formula>NOT(ISERROR(A1))</formula>
    </cfRule>
  </conditionalFormatting>
  <conditionalFormatting sqref="A2:O3">
    <cfRule type="notContainsErrors" dxfId="34" priority="9">
      <formula>NOT(ISERROR(A2))</formula>
    </cfRule>
  </conditionalFormatting>
  <conditionalFormatting sqref="A4:O4">
    <cfRule type="notContainsErrors" dxfId="33" priority="8">
      <formula>NOT(ISERROR(A4))</formula>
    </cfRule>
  </conditionalFormatting>
  <conditionalFormatting sqref="O1">
    <cfRule type="notContainsErrors" dxfId="32" priority="7">
      <formula>NOT(ISERROR(O1))</formula>
    </cfRule>
  </conditionalFormatting>
  <dataValidations count="1">
    <dataValidation type="list" allowBlank="1" showInputMessage="1" showErrorMessage="1" sqref="E5:E1048576" xr:uid="{00000000-0002-0000-0400-000002000000}">
      <formula1>"Cell,Nuclei,Protoplast"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sample!$B$5:$B$100</xm:f>
          </x14:formula1>
          <xm:sqref>C5:C1048576</xm:sqref>
        </x14:dataValidation>
        <x14:dataValidation type="list" allowBlank="1" showInputMessage="1" showErrorMessage="1" xr:uid="{00000000-0002-0000-0400-000001000000}">
          <x14:formula1>
            <xm:f>dissociation!$B$5:$B$100</xm:f>
          </x14:formula1>
          <xm:sqref>D5:D1048576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004"/>
  <sheetViews>
    <sheetView workbookViewId="0">
      <selection activeCell="C5" sqref="C5:AD5"/>
    </sheetView>
  </sheetViews>
  <sheetFormatPr baseColWidth="10" defaultColWidth="8.83203125" defaultRowHeight="15" x14ac:dyDescent="0.2"/>
  <cols>
    <col min="1" max="1" width="47.6640625" style="1" customWidth="1"/>
    <col min="2" max="5" width="70.6640625" style="1" customWidth="1"/>
    <col min="6" max="6" width="56.6640625" style="1" customWidth="1"/>
    <col min="7" max="8" width="70.6640625" style="1" customWidth="1"/>
    <col min="9" max="9" width="66.6640625" style="1" customWidth="1"/>
    <col min="10" max="11" width="70.6640625" style="1" customWidth="1"/>
    <col min="12" max="12" width="46.6640625" style="1" customWidth="1"/>
    <col min="13" max="13" width="28.6640625" style="1" customWidth="1"/>
    <col min="14" max="20" width="70.6640625" style="1" customWidth="1"/>
    <col min="21" max="21" width="60.6640625" style="1" customWidth="1"/>
    <col min="22" max="24" width="70.6640625" style="1" customWidth="1"/>
    <col min="25" max="25" width="35.6640625" style="1" customWidth="1"/>
    <col min="26" max="26" width="54.6640625" style="1" customWidth="1"/>
    <col min="27" max="28" width="70.6640625" style="1" customWidth="1"/>
    <col min="29" max="29" width="52.6640625" style="1" customWidth="1"/>
    <col min="30" max="30" width="51.6640625" style="1" customWidth="1"/>
  </cols>
  <sheetData>
    <row r="1" spans="1:30" ht="16" x14ac:dyDescent="0.2">
      <c r="A1" s="1" t="s">
        <v>0</v>
      </c>
      <c r="B1" s="1" t="s">
        <v>126</v>
      </c>
      <c r="C1" s="1" t="s">
        <v>93</v>
      </c>
      <c r="D1" s="1" t="s">
        <v>130</v>
      </c>
      <c r="E1" s="1" t="s">
        <v>133</v>
      </c>
      <c r="F1" s="1" t="s">
        <v>136</v>
      </c>
      <c r="G1" s="1" t="s">
        <v>139</v>
      </c>
      <c r="H1" s="1" t="s">
        <v>142</v>
      </c>
      <c r="I1" s="1" t="s">
        <v>145</v>
      </c>
      <c r="J1" s="1" t="s">
        <v>148</v>
      </c>
      <c r="K1" s="1" t="s">
        <v>151</v>
      </c>
      <c r="L1" s="1" t="s">
        <v>154</v>
      </c>
      <c r="M1" s="1" t="s">
        <v>157</v>
      </c>
      <c r="N1" s="1" t="s">
        <v>160</v>
      </c>
      <c r="O1" s="1" t="s">
        <v>163</v>
      </c>
      <c r="P1" s="1" t="s">
        <v>166</v>
      </c>
      <c r="Q1" s="1" t="s">
        <v>169</v>
      </c>
      <c r="R1" s="1" t="s">
        <v>172</v>
      </c>
      <c r="S1" s="1" t="s">
        <v>175</v>
      </c>
      <c r="T1" s="1" t="s">
        <v>178</v>
      </c>
      <c r="U1" s="1" t="s">
        <v>181</v>
      </c>
      <c r="V1" s="1" t="s">
        <v>184</v>
      </c>
      <c r="W1" s="1" t="s">
        <v>187</v>
      </c>
      <c r="X1" s="1" t="s">
        <v>190</v>
      </c>
      <c r="Y1" s="1" t="s">
        <v>193</v>
      </c>
      <c r="Z1" s="1" t="s">
        <v>196</v>
      </c>
      <c r="AA1" s="1" t="s">
        <v>198</v>
      </c>
      <c r="AB1" s="1" t="s">
        <v>200</v>
      </c>
      <c r="AC1" s="1" t="s">
        <v>203</v>
      </c>
      <c r="AD1" s="1" t="s">
        <v>206</v>
      </c>
    </row>
    <row r="2" spans="1:30" ht="48" x14ac:dyDescent="0.2">
      <c r="A2" s="1" t="s">
        <v>1</v>
      </c>
      <c r="B2" s="1" t="s">
        <v>127</v>
      </c>
      <c r="C2" s="1" t="s">
        <v>129</v>
      </c>
      <c r="D2" s="1" t="s">
        <v>131</v>
      </c>
      <c r="E2" s="1" t="s">
        <v>134</v>
      </c>
      <c r="F2" s="1" t="s">
        <v>137</v>
      </c>
      <c r="G2" s="1" t="s">
        <v>140</v>
      </c>
      <c r="H2" s="1" t="s">
        <v>143</v>
      </c>
      <c r="I2" s="1" t="s">
        <v>146</v>
      </c>
      <c r="J2" s="1" t="s">
        <v>149</v>
      </c>
      <c r="K2" s="1" t="s">
        <v>152</v>
      </c>
      <c r="L2" s="1" t="s">
        <v>155</v>
      </c>
      <c r="M2" s="1" t="s">
        <v>158</v>
      </c>
      <c r="N2" s="1" t="s">
        <v>161</v>
      </c>
      <c r="O2" s="1" t="s">
        <v>164</v>
      </c>
      <c r="P2" s="1" t="s">
        <v>167</v>
      </c>
      <c r="Q2" s="1" t="s">
        <v>170</v>
      </c>
      <c r="R2" s="1" t="s">
        <v>173</v>
      </c>
      <c r="S2" s="1" t="s">
        <v>176</v>
      </c>
      <c r="T2" s="1" t="s">
        <v>179</v>
      </c>
      <c r="U2" s="1" t="s">
        <v>182</v>
      </c>
      <c r="V2" s="1" t="s">
        <v>185</v>
      </c>
      <c r="W2" s="1" t="s">
        <v>188</v>
      </c>
      <c r="X2" s="1" t="s">
        <v>191</v>
      </c>
      <c r="Y2" s="1" t="s">
        <v>194</v>
      </c>
      <c r="Z2" s="1" t="s">
        <v>197</v>
      </c>
      <c r="AA2" s="1" t="s">
        <v>199</v>
      </c>
      <c r="AB2" s="1" t="s">
        <v>201</v>
      </c>
      <c r="AC2" s="1" t="s">
        <v>204</v>
      </c>
      <c r="AD2" s="1" t="s">
        <v>207</v>
      </c>
    </row>
    <row r="3" spans="1:30" ht="16" x14ac:dyDescent="0.2">
      <c r="A3" s="1" t="s">
        <v>2</v>
      </c>
      <c r="B3" s="1" t="s">
        <v>128</v>
      </c>
      <c r="C3" s="1" t="s">
        <v>95</v>
      </c>
      <c r="D3" s="1" t="s">
        <v>132</v>
      </c>
      <c r="E3" s="1" t="s">
        <v>135</v>
      </c>
      <c r="F3" s="1" t="s">
        <v>138</v>
      </c>
      <c r="G3" s="1" t="s">
        <v>141</v>
      </c>
      <c r="H3" s="1" t="s">
        <v>144</v>
      </c>
      <c r="I3" s="1" t="s">
        <v>147</v>
      </c>
      <c r="J3" s="1" t="s">
        <v>150</v>
      </c>
      <c r="K3" s="1" t="s">
        <v>153</v>
      </c>
      <c r="L3" s="1" t="s">
        <v>156</v>
      </c>
      <c r="M3" s="1" t="s">
        <v>159</v>
      </c>
      <c r="N3" s="1" t="s">
        <v>162</v>
      </c>
      <c r="O3" s="1" t="s">
        <v>165</v>
      </c>
      <c r="P3" s="1" t="s">
        <v>168</v>
      </c>
      <c r="Q3" s="1" t="s">
        <v>171</v>
      </c>
      <c r="R3" s="1" t="s">
        <v>174</v>
      </c>
      <c r="S3" s="1" t="s">
        <v>177</v>
      </c>
      <c r="T3" s="1" t="s">
        <v>180</v>
      </c>
      <c r="U3" s="1" t="s">
        <v>183</v>
      </c>
      <c r="V3" s="1" t="s">
        <v>186</v>
      </c>
      <c r="W3" s="1" t="s">
        <v>189</v>
      </c>
      <c r="X3" s="1" t="s">
        <v>192</v>
      </c>
      <c r="Y3" s="1" t="s">
        <v>195</v>
      </c>
      <c r="AB3" s="1" t="s">
        <v>202</v>
      </c>
      <c r="AC3" s="1" t="s">
        <v>205</v>
      </c>
      <c r="AD3" s="1" t="s">
        <v>208</v>
      </c>
    </row>
    <row r="4" spans="1:30" x14ac:dyDescent="0.2">
      <c r="A4" s="2" t="s">
        <v>18</v>
      </c>
    </row>
    <row r="5" spans="1:30" s="3" customFormat="1" ht="16" x14ac:dyDescent="0.2">
      <c r="A5" s="4" t="str">
        <f t="array" ref="A5:A100">IF(ISBLANK(C5:C100)*ISBLANK(D5:D100)*ISBLANK(E5:E100)*ISBLANK(F5:F100), "", IF(study!$A$5 &lt;&gt; "", study!$A$5, "" ))</f>
        <v>STUDY004</v>
      </c>
      <c r="B5" s="4" t="str">
        <f t="array" ref="B5:B100">IF(ISBLANK(C5:C100)*ISBLANK(D5:D100)*ISBLANK(E5:E100)*ISBLANK(F5:F100), "", CONCATENATE("LIBPREP", TEXT(ROW()-4,"000")))</f>
        <v>LIBPREP001</v>
      </c>
      <c r="C5" s="3" t="s">
        <v>95</v>
      </c>
      <c r="D5" s="3" t="s">
        <v>132</v>
      </c>
      <c r="E5" s="3" t="s">
        <v>135</v>
      </c>
      <c r="F5" s="3" t="s">
        <v>138</v>
      </c>
      <c r="G5" s="3" t="s">
        <v>141</v>
      </c>
      <c r="H5" s="3" t="s">
        <v>144</v>
      </c>
      <c r="I5" s="3" t="s">
        <v>147</v>
      </c>
      <c r="J5" s="3" t="s">
        <v>150</v>
      </c>
      <c r="K5" s="3" t="s">
        <v>153</v>
      </c>
      <c r="L5" s="3" t="s">
        <v>156</v>
      </c>
      <c r="M5" s="3" t="s">
        <v>159</v>
      </c>
      <c r="N5" s="3" t="s">
        <v>162</v>
      </c>
      <c r="O5" s="3" t="s">
        <v>165</v>
      </c>
      <c r="P5" s="3" t="s">
        <v>168</v>
      </c>
      <c r="Q5" s="3" t="s">
        <v>171</v>
      </c>
      <c r="R5" s="3" t="s">
        <v>174</v>
      </c>
      <c r="S5" s="3" t="s">
        <v>177</v>
      </c>
      <c r="T5" s="3" t="s">
        <v>180</v>
      </c>
      <c r="U5" s="3" t="s">
        <v>582</v>
      </c>
      <c r="V5" s="3" t="s">
        <v>186</v>
      </c>
      <c r="W5" s="3" t="s">
        <v>189</v>
      </c>
      <c r="X5" s="3" t="s">
        <v>192</v>
      </c>
      <c r="Y5" s="3" t="s">
        <v>583</v>
      </c>
      <c r="Z5" s="3" t="s">
        <v>584</v>
      </c>
      <c r="AB5" s="3" t="s">
        <v>202</v>
      </c>
      <c r="AC5" s="3" t="s">
        <v>205</v>
      </c>
      <c r="AD5" s="3" t="s">
        <v>208</v>
      </c>
    </row>
    <row r="6" spans="1:30" s="3" customFormat="1" x14ac:dyDescent="0.2">
      <c r="A6" s="4" t="str">
        <v/>
      </c>
      <c r="B6" s="4" t="str">
        <v/>
      </c>
    </row>
    <row r="7" spans="1:30" s="3" customFormat="1" x14ac:dyDescent="0.2">
      <c r="A7" s="4" t="str">
        <v/>
      </c>
      <c r="B7" s="4" t="str">
        <v/>
      </c>
    </row>
    <row r="8" spans="1:30" s="3" customFormat="1" x14ac:dyDescent="0.2">
      <c r="A8" s="4" t="str">
        <v/>
      </c>
      <c r="B8" s="4" t="str">
        <v/>
      </c>
    </row>
    <row r="9" spans="1:30" s="3" customFormat="1" x14ac:dyDescent="0.2">
      <c r="A9" s="4" t="str">
        <v/>
      </c>
      <c r="B9" s="4" t="str">
        <v/>
      </c>
    </row>
    <row r="10" spans="1:30" s="3" customFormat="1" x14ac:dyDescent="0.2">
      <c r="A10" s="4" t="str">
        <v/>
      </c>
      <c r="B10" s="4" t="str">
        <v/>
      </c>
    </row>
    <row r="11" spans="1:30" s="3" customFormat="1" x14ac:dyDescent="0.2">
      <c r="A11" s="4" t="str">
        <v/>
      </c>
      <c r="B11" s="4" t="str">
        <v/>
      </c>
    </row>
    <row r="12" spans="1:30" s="3" customFormat="1" x14ac:dyDescent="0.2">
      <c r="A12" s="4" t="str">
        <v/>
      </c>
      <c r="B12" s="4" t="str">
        <v/>
      </c>
    </row>
    <row r="13" spans="1:30" s="3" customFormat="1" x14ac:dyDescent="0.2">
      <c r="A13" s="4" t="str">
        <v/>
      </c>
      <c r="B13" s="4" t="str">
        <v/>
      </c>
    </row>
    <row r="14" spans="1:30" s="3" customFormat="1" x14ac:dyDescent="0.2">
      <c r="A14" s="4" t="str">
        <v/>
      </c>
      <c r="B14" s="4" t="str">
        <v/>
      </c>
    </row>
    <row r="15" spans="1:30" s="3" customFormat="1" x14ac:dyDescent="0.2">
      <c r="A15" s="4" t="str">
        <v/>
      </c>
      <c r="B15" s="4" t="str">
        <v/>
      </c>
    </row>
    <row r="16" spans="1:30" s="3" customFormat="1" x14ac:dyDescent="0.2">
      <c r="A16" s="4" t="str">
        <v/>
      </c>
      <c r="B16" s="4" t="str">
        <v/>
      </c>
    </row>
    <row r="17" spans="1:2" s="3" customFormat="1" x14ac:dyDescent="0.2">
      <c r="A17" s="4" t="str">
        <v/>
      </c>
      <c r="B17" s="4" t="str">
        <v/>
      </c>
    </row>
    <row r="18" spans="1:2" s="3" customFormat="1" x14ac:dyDescent="0.2">
      <c r="A18" s="4" t="str">
        <v/>
      </c>
      <c r="B18" s="4" t="str">
        <v/>
      </c>
    </row>
    <row r="19" spans="1:2" s="3" customFormat="1" x14ac:dyDescent="0.2">
      <c r="A19" s="4" t="str">
        <v/>
      </c>
      <c r="B19" s="4" t="str">
        <v/>
      </c>
    </row>
    <row r="20" spans="1:2" s="3" customFormat="1" x14ac:dyDescent="0.2">
      <c r="A20" s="4" t="str">
        <v/>
      </c>
      <c r="B20" s="4" t="str">
        <v/>
      </c>
    </row>
    <row r="21" spans="1:2" s="3" customFormat="1" x14ac:dyDescent="0.2">
      <c r="A21" s="4" t="str">
        <v/>
      </c>
      <c r="B21" s="4" t="str">
        <v/>
      </c>
    </row>
    <row r="22" spans="1:2" s="3" customFormat="1" x14ac:dyDescent="0.2">
      <c r="A22" s="4" t="str">
        <v/>
      </c>
      <c r="B22" s="4" t="str">
        <v/>
      </c>
    </row>
    <row r="23" spans="1:2" s="3" customFormat="1" x14ac:dyDescent="0.2">
      <c r="A23" s="4" t="str">
        <v/>
      </c>
      <c r="B23" s="4" t="str">
        <v/>
      </c>
    </row>
    <row r="24" spans="1:2" s="3" customFormat="1" x14ac:dyDescent="0.2">
      <c r="A24" s="4" t="str">
        <v/>
      </c>
      <c r="B24" s="4" t="str">
        <v/>
      </c>
    </row>
    <row r="25" spans="1:2" s="3" customFormat="1" x14ac:dyDescent="0.2">
      <c r="A25" s="4" t="str">
        <v/>
      </c>
      <c r="B25" s="4" t="str">
        <v/>
      </c>
    </row>
    <row r="26" spans="1:2" s="3" customFormat="1" x14ac:dyDescent="0.2">
      <c r="A26" s="4" t="str">
        <v/>
      </c>
      <c r="B26" s="4" t="str">
        <v/>
      </c>
    </row>
    <row r="27" spans="1:2" s="3" customFormat="1" x14ac:dyDescent="0.2">
      <c r="A27" s="4" t="str">
        <v/>
      </c>
      <c r="B27" s="4" t="str">
        <v/>
      </c>
    </row>
    <row r="28" spans="1:2" s="3" customFormat="1" x14ac:dyDescent="0.2">
      <c r="A28" s="4" t="str">
        <v/>
      </c>
      <c r="B28" s="4" t="str">
        <v/>
      </c>
    </row>
    <row r="29" spans="1:2" s="3" customFormat="1" x14ac:dyDescent="0.2">
      <c r="A29" s="4" t="str">
        <v/>
      </c>
      <c r="B29" s="4" t="str">
        <v/>
      </c>
    </row>
    <row r="30" spans="1:2" s="3" customFormat="1" x14ac:dyDescent="0.2">
      <c r="A30" s="4" t="str">
        <v/>
      </c>
      <c r="B30" s="4" t="str">
        <v/>
      </c>
    </row>
    <row r="31" spans="1:2" s="3" customFormat="1" x14ac:dyDescent="0.2">
      <c r="A31" s="4" t="str">
        <v/>
      </c>
      <c r="B31" s="4" t="str">
        <v/>
      </c>
    </row>
    <row r="32" spans="1:2" s="3" customFormat="1" x14ac:dyDescent="0.2">
      <c r="A32" s="4" t="str">
        <v/>
      </c>
      <c r="B32" s="4" t="str">
        <v/>
      </c>
    </row>
    <row r="33" spans="1:2" s="3" customFormat="1" x14ac:dyDescent="0.2">
      <c r="A33" s="4" t="str">
        <v/>
      </c>
      <c r="B33" s="4" t="str">
        <v/>
      </c>
    </row>
    <row r="34" spans="1:2" s="3" customFormat="1" x14ac:dyDescent="0.2">
      <c r="A34" s="4" t="str">
        <v/>
      </c>
      <c r="B34" s="4" t="str">
        <v/>
      </c>
    </row>
    <row r="35" spans="1:2" s="3" customFormat="1" x14ac:dyDescent="0.2">
      <c r="A35" s="4" t="str">
        <v/>
      </c>
      <c r="B35" s="4" t="str">
        <v/>
      </c>
    </row>
    <row r="36" spans="1:2" s="3" customFormat="1" x14ac:dyDescent="0.2">
      <c r="A36" s="4" t="str">
        <v/>
      </c>
      <c r="B36" s="4" t="str">
        <v/>
      </c>
    </row>
    <row r="37" spans="1:2" s="3" customFormat="1" x14ac:dyDescent="0.2">
      <c r="A37" s="4" t="str">
        <v/>
      </c>
      <c r="B37" s="4" t="str">
        <v/>
      </c>
    </row>
    <row r="38" spans="1:2" s="3" customFormat="1" x14ac:dyDescent="0.2">
      <c r="A38" s="4" t="str">
        <v/>
      </c>
      <c r="B38" s="4" t="str">
        <v/>
      </c>
    </row>
    <row r="39" spans="1:2" s="3" customFormat="1" x14ac:dyDescent="0.2">
      <c r="A39" s="4" t="str">
        <v/>
      </c>
      <c r="B39" s="4" t="str">
        <v/>
      </c>
    </row>
    <row r="40" spans="1:2" s="3" customFormat="1" x14ac:dyDescent="0.2">
      <c r="A40" s="4" t="str">
        <v/>
      </c>
      <c r="B40" s="4" t="str">
        <v/>
      </c>
    </row>
    <row r="41" spans="1:2" s="3" customFormat="1" x14ac:dyDescent="0.2">
      <c r="A41" s="4" t="str">
        <v/>
      </c>
      <c r="B41" s="4" t="str">
        <v/>
      </c>
    </row>
    <row r="42" spans="1:2" s="3" customFormat="1" x14ac:dyDescent="0.2">
      <c r="A42" s="4" t="str">
        <v/>
      </c>
      <c r="B42" s="4" t="str">
        <v/>
      </c>
    </row>
    <row r="43" spans="1:2" s="3" customFormat="1" x14ac:dyDescent="0.2">
      <c r="A43" s="4" t="str">
        <v/>
      </c>
      <c r="B43" s="4" t="str">
        <v/>
      </c>
    </row>
    <row r="44" spans="1:2" s="3" customFormat="1" x14ac:dyDescent="0.2">
      <c r="A44" s="4" t="str">
        <v/>
      </c>
      <c r="B44" s="4" t="str">
        <v/>
      </c>
    </row>
    <row r="45" spans="1:2" s="3" customFormat="1" x14ac:dyDescent="0.2">
      <c r="A45" s="4" t="str">
        <v/>
      </c>
      <c r="B45" s="4" t="str">
        <v/>
      </c>
    </row>
    <row r="46" spans="1:2" s="3" customFormat="1" x14ac:dyDescent="0.2">
      <c r="A46" s="4" t="str">
        <v/>
      </c>
      <c r="B46" s="4" t="str">
        <v/>
      </c>
    </row>
    <row r="47" spans="1:2" s="3" customFormat="1" x14ac:dyDescent="0.2">
      <c r="A47" s="4" t="str">
        <v/>
      </c>
      <c r="B47" s="4" t="str">
        <v/>
      </c>
    </row>
    <row r="48" spans="1:2" s="3" customFormat="1" x14ac:dyDescent="0.2">
      <c r="A48" s="4" t="str">
        <v/>
      </c>
      <c r="B48" s="4" t="str">
        <v/>
      </c>
    </row>
    <row r="49" spans="1:2" s="3" customFormat="1" x14ac:dyDescent="0.2">
      <c r="A49" s="4" t="str">
        <v/>
      </c>
      <c r="B49" s="4" t="str">
        <v/>
      </c>
    </row>
    <row r="50" spans="1:2" s="3" customFormat="1" x14ac:dyDescent="0.2">
      <c r="A50" s="4" t="str">
        <v/>
      </c>
      <c r="B50" s="4" t="str">
        <v/>
      </c>
    </row>
    <row r="51" spans="1:2" s="3" customFormat="1" x14ac:dyDescent="0.2">
      <c r="A51" s="4" t="str">
        <v/>
      </c>
      <c r="B51" s="4" t="str">
        <v/>
      </c>
    </row>
    <row r="52" spans="1:2" s="3" customFormat="1" x14ac:dyDescent="0.2">
      <c r="A52" s="4" t="str">
        <v/>
      </c>
      <c r="B52" s="4" t="str">
        <v/>
      </c>
    </row>
    <row r="53" spans="1:2" s="3" customFormat="1" x14ac:dyDescent="0.2">
      <c r="A53" s="4" t="str">
        <v/>
      </c>
      <c r="B53" s="4" t="str">
        <v/>
      </c>
    </row>
    <row r="54" spans="1:2" s="3" customFormat="1" x14ac:dyDescent="0.2">
      <c r="A54" s="4" t="str">
        <v/>
      </c>
      <c r="B54" s="4" t="str">
        <v/>
      </c>
    </row>
    <row r="55" spans="1:2" s="3" customFormat="1" x14ac:dyDescent="0.2">
      <c r="A55" s="4" t="str">
        <v/>
      </c>
      <c r="B55" s="4" t="str">
        <v/>
      </c>
    </row>
    <row r="56" spans="1:2" s="3" customFormat="1" x14ac:dyDescent="0.2">
      <c r="A56" s="4" t="str">
        <v/>
      </c>
      <c r="B56" s="4" t="str">
        <v/>
      </c>
    </row>
    <row r="57" spans="1:2" s="3" customFormat="1" x14ac:dyDescent="0.2">
      <c r="A57" s="4" t="str">
        <v/>
      </c>
      <c r="B57" s="4" t="str">
        <v/>
      </c>
    </row>
    <row r="58" spans="1:2" s="3" customFormat="1" x14ac:dyDescent="0.2">
      <c r="A58" s="4" t="str">
        <v/>
      </c>
      <c r="B58" s="4" t="str">
        <v/>
      </c>
    </row>
    <row r="59" spans="1:2" s="3" customFormat="1" x14ac:dyDescent="0.2">
      <c r="A59" s="4" t="str">
        <v/>
      </c>
      <c r="B59" s="4" t="str">
        <v/>
      </c>
    </row>
    <row r="60" spans="1:2" s="3" customFormat="1" x14ac:dyDescent="0.2">
      <c r="A60" s="4" t="str">
        <v/>
      </c>
      <c r="B60" s="4" t="str">
        <v/>
      </c>
    </row>
    <row r="61" spans="1:2" s="3" customFormat="1" x14ac:dyDescent="0.2">
      <c r="A61" s="4" t="str">
        <v/>
      </c>
      <c r="B61" s="4" t="str">
        <v/>
      </c>
    </row>
    <row r="62" spans="1:2" s="3" customFormat="1" x14ac:dyDescent="0.2">
      <c r="A62" s="4" t="str">
        <v/>
      </c>
      <c r="B62" s="4" t="str">
        <v/>
      </c>
    </row>
    <row r="63" spans="1:2" s="3" customFormat="1" x14ac:dyDescent="0.2">
      <c r="A63" s="4" t="str">
        <v/>
      </c>
      <c r="B63" s="4" t="str">
        <v/>
      </c>
    </row>
    <row r="64" spans="1:2" s="3" customFormat="1" x14ac:dyDescent="0.2">
      <c r="A64" s="4" t="str">
        <v/>
      </c>
      <c r="B64" s="4" t="str">
        <v/>
      </c>
    </row>
    <row r="65" spans="1:2" s="3" customFormat="1" x14ac:dyDescent="0.2">
      <c r="A65" s="4" t="str">
        <v/>
      </c>
      <c r="B65" s="4" t="str">
        <v/>
      </c>
    </row>
    <row r="66" spans="1:2" s="3" customFormat="1" x14ac:dyDescent="0.2">
      <c r="A66" s="4" t="str">
        <v/>
      </c>
      <c r="B66" s="4" t="str">
        <v/>
      </c>
    </row>
    <row r="67" spans="1:2" s="3" customFormat="1" x14ac:dyDescent="0.2">
      <c r="A67" s="4" t="str">
        <v/>
      </c>
      <c r="B67" s="4" t="str">
        <v/>
      </c>
    </row>
    <row r="68" spans="1:2" s="3" customFormat="1" x14ac:dyDescent="0.2">
      <c r="A68" s="4" t="str">
        <v/>
      </c>
      <c r="B68" s="4" t="str">
        <v/>
      </c>
    </row>
    <row r="69" spans="1:2" s="3" customFormat="1" x14ac:dyDescent="0.2">
      <c r="A69" s="4" t="str">
        <v/>
      </c>
      <c r="B69" s="4" t="str">
        <v/>
      </c>
    </row>
    <row r="70" spans="1:2" s="3" customFormat="1" x14ac:dyDescent="0.2">
      <c r="A70" s="4" t="str">
        <v/>
      </c>
      <c r="B70" s="4" t="str">
        <v/>
      </c>
    </row>
    <row r="71" spans="1:2" s="3" customFormat="1" x14ac:dyDescent="0.2">
      <c r="A71" s="4" t="str">
        <v/>
      </c>
      <c r="B71" s="4" t="str">
        <v/>
      </c>
    </row>
    <row r="72" spans="1:2" s="3" customFormat="1" x14ac:dyDescent="0.2">
      <c r="A72" s="4" t="str">
        <v/>
      </c>
      <c r="B72" s="4" t="str">
        <v/>
      </c>
    </row>
    <row r="73" spans="1:2" s="3" customFormat="1" x14ac:dyDescent="0.2">
      <c r="A73" s="4" t="str">
        <v/>
      </c>
      <c r="B73" s="4" t="str">
        <v/>
      </c>
    </row>
    <row r="74" spans="1:2" s="3" customFormat="1" x14ac:dyDescent="0.2">
      <c r="A74" s="4" t="str">
        <v/>
      </c>
      <c r="B74" s="4" t="str">
        <v/>
      </c>
    </row>
    <row r="75" spans="1:2" s="3" customFormat="1" x14ac:dyDescent="0.2">
      <c r="A75" s="4" t="str">
        <v/>
      </c>
      <c r="B75" s="4" t="str">
        <v/>
      </c>
    </row>
    <row r="76" spans="1:2" s="3" customFormat="1" x14ac:dyDescent="0.2">
      <c r="A76" s="4" t="str">
        <v/>
      </c>
      <c r="B76" s="4" t="str">
        <v/>
      </c>
    </row>
    <row r="77" spans="1:2" s="3" customFormat="1" x14ac:dyDescent="0.2">
      <c r="A77" s="4" t="str">
        <v/>
      </c>
      <c r="B77" s="4" t="str">
        <v/>
      </c>
    </row>
    <row r="78" spans="1:2" s="3" customFormat="1" x14ac:dyDescent="0.2">
      <c r="A78" s="4" t="str">
        <v/>
      </c>
      <c r="B78" s="4" t="str">
        <v/>
      </c>
    </row>
    <row r="79" spans="1:2" s="3" customFormat="1" x14ac:dyDescent="0.2">
      <c r="A79" s="4" t="str">
        <v/>
      </c>
      <c r="B79" s="4" t="str">
        <v/>
      </c>
    </row>
    <row r="80" spans="1:2" s="3" customFormat="1" x14ac:dyDescent="0.2">
      <c r="A80" s="4" t="str">
        <v/>
      </c>
      <c r="B80" s="4" t="str">
        <v/>
      </c>
    </row>
    <row r="81" spans="1:2" s="3" customFormat="1" x14ac:dyDescent="0.2">
      <c r="A81" s="4" t="str">
        <v/>
      </c>
      <c r="B81" s="4" t="str">
        <v/>
      </c>
    </row>
    <row r="82" spans="1:2" s="3" customFormat="1" x14ac:dyDescent="0.2">
      <c r="A82" s="4" t="str">
        <v/>
      </c>
      <c r="B82" s="4" t="str">
        <v/>
      </c>
    </row>
    <row r="83" spans="1:2" s="3" customFormat="1" x14ac:dyDescent="0.2">
      <c r="A83" s="4" t="str">
        <v/>
      </c>
      <c r="B83" s="4" t="str">
        <v/>
      </c>
    </row>
    <row r="84" spans="1:2" s="3" customFormat="1" x14ac:dyDescent="0.2">
      <c r="A84" s="4" t="str">
        <v/>
      </c>
      <c r="B84" s="4" t="str">
        <v/>
      </c>
    </row>
    <row r="85" spans="1:2" s="3" customFormat="1" x14ac:dyDescent="0.2">
      <c r="A85" s="4" t="str">
        <v/>
      </c>
      <c r="B85" s="4" t="str">
        <v/>
      </c>
    </row>
    <row r="86" spans="1:2" s="3" customFormat="1" x14ac:dyDescent="0.2">
      <c r="A86" s="4" t="str">
        <v/>
      </c>
      <c r="B86" s="4" t="str">
        <v/>
      </c>
    </row>
    <row r="87" spans="1:2" s="3" customFormat="1" x14ac:dyDescent="0.2">
      <c r="A87" s="4" t="str">
        <v/>
      </c>
      <c r="B87" s="4" t="str">
        <v/>
      </c>
    </row>
    <row r="88" spans="1:2" s="3" customFormat="1" x14ac:dyDescent="0.2">
      <c r="A88" s="4" t="str">
        <v/>
      </c>
      <c r="B88" s="4" t="str">
        <v/>
      </c>
    </row>
    <row r="89" spans="1:2" s="3" customFormat="1" x14ac:dyDescent="0.2">
      <c r="A89" s="4" t="str">
        <v/>
      </c>
      <c r="B89" s="4" t="str">
        <v/>
      </c>
    </row>
    <row r="90" spans="1:2" s="3" customFormat="1" x14ac:dyDescent="0.2">
      <c r="A90" s="4" t="str">
        <v/>
      </c>
      <c r="B90" s="4" t="str">
        <v/>
      </c>
    </row>
    <row r="91" spans="1:2" s="3" customFormat="1" x14ac:dyDescent="0.2">
      <c r="A91" s="4" t="str">
        <v/>
      </c>
      <c r="B91" s="4" t="str">
        <v/>
      </c>
    </row>
    <row r="92" spans="1:2" s="3" customFormat="1" x14ac:dyDescent="0.2">
      <c r="A92" s="4" t="str">
        <v/>
      </c>
      <c r="B92" s="4" t="str">
        <v/>
      </c>
    </row>
    <row r="93" spans="1:2" s="3" customFormat="1" x14ac:dyDescent="0.2">
      <c r="A93" s="4" t="str">
        <v/>
      </c>
      <c r="B93" s="4" t="str">
        <v/>
      </c>
    </row>
    <row r="94" spans="1:2" s="3" customFormat="1" x14ac:dyDescent="0.2">
      <c r="A94" s="4" t="str">
        <v/>
      </c>
      <c r="B94" s="4" t="str">
        <v/>
      </c>
    </row>
    <row r="95" spans="1:2" s="3" customFormat="1" x14ac:dyDescent="0.2">
      <c r="A95" s="4" t="str">
        <v/>
      </c>
      <c r="B95" s="4" t="str">
        <v/>
      </c>
    </row>
    <row r="96" spans="1:2" s="3" customFormat="1" x14ac:dyDescent="0.2">
      <c r="A96" s="4" t="str">
        <v/>
      </c>
      <c r="B96" s="4" t="str">
        <v/>
      </c>
    </row>
    <row r="97" spans="1:2" s="3" customFormat="1" x14ac:dyDescent="0.2">
      <c r="A97" s="4" t="str">
        <v/>
      </c>
      <c r="B97" s="4" t="str">
        <v/>
      </c>
    </row>
    <row r="98" spans="1:2" s="3" customFormat="1" x14ac:dyDescent="0.2">
      <c r="A98" s="4" t="str">
        <v/>
      </c>
      <c r="B98" s="4" t="str">
        <v/>
      </c>
    </row>
    <row r="99" spans="1:2" s="3" customFormat="1" x14ac:dyDescent="0.2">
      <c r="A99" s="4" t="str">
        <v/>
      </c>
      <c r="B99" s="4" t="str">
        <v/>
      </c>
    </row>
    <row r="100" spans="1:2" s="3" customFormat="1" x14ac:dyDescent="0.2">
      <c r="A100" s="4" t="str">
        <v/>
      </c>
      <c r="B100" s="4" t="str">
        <v/>
      </c>
    </row>
    <row r="101" spans="1:2" s="3" customFormat="1" x14ac:dyDescent="0.2"/>
    <row r="102" spans="1:2" s="3" customFormat="1" x14ac:dyDescent="0.2"/>
    <row r="103" spans="1:2" s="3" customFormat="1" x14ac:dyDescent="0.2"/>
    <row r="104" spans="1:2" s="3" customFormat="1" x14ac:dyDescent="0.2"/>
    <row r="105" spans="1:2" s="3" customFormat="1" x14ac:dyDescent="0.2"/>
    <row r="106" spans="1:2" s="3" customFormat="1" x14ac:dyDescent="0.2"/>
    <row r="107" spans="1:2" s="3" customFormat="1" x14ac:dyDescent="0.2"/>
    <row r="108" spans="1:2" s="3" customFormat="1" x14ac:dyDescent="0.2"/>
    <row r="109" spans="1:2" s="3" customFormat="1" x14ac:dyDescent="0.2"/>
    <row r="110" spans="1:2" s="3" customFormat="1" x14ac:dyDescent="0.2"/>
    <row r="111" spans="1:2" s="3" customFormat="1" x14ac:dyDescent="0.2"/>
    <row r="112" spans="1:2"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1:E1">
    <cfRule type="notContainsErrors" dxfId="31" priority="1">
      <formula>NOT(ISERROR(A1))</formula>
    </cfRule>
  </conditionalFormatting>
  <conditionalFormatting sqref="A2:AD3">
    <cfRule type="notContainsErrors" dxfId="30" priority="15">
      <formula>NOT(ISERROR(A2))</formula>
    </cfRule>
  </conditionalFormatting>
  <conditionalFormatting sqref="A4:AD4">
    <cfRule type="notContainsErrors" dxfId="29" priority="14">
      <formula>NOT(ISERROR(A4))</formula>
    </cfRule>
  </conditionalFormatting>
  <conditionalFormatting sqref="R1:T1">
    <cfRule type="notContainsErrors" dxfId="28" priority="6">
      <formula>NOT(ISERROR(R1))</formula>
    </cfRule>
  </conditionalFormatting>
  <conditionalFormatting sqref="Y1:Z1">
    <cfRule type="notContainsErrors" dxfId="27" priority="9">
      <formula>NOT(ISERROR(Y1))</formula>
    </cfRule>
  </conditionalFormatting>
  <conditionalFormatting sqref="AB1:AD1">
    <cfRule type="notContainsErrors" dxfId="26" priority="11">
      <formula>NOT(ISERROR(AB1))</formula>
    </cfRule>
  </conditionalFormatting>
  <dataValidations count="8">
    <dataValidation type="list" allowBlank="1" showInputMessage="1" showErrorMessage="1" sqref="K5:K1048576" xr:uid="{00000000-0002-0000-0500-000001000000}">
      <formula1>"Oligo-dT,Random"</formula1>
    </dataValidation>
    <dataValidation type="list" allowBlank="1" showInputMessage="1" showErrorMessage="1" sqref="L5:L1048576" xr:uid="{00000000-0002-0000-0500-000002000000}">
      <formula1>"3',5',Both"</formula1>
    </dataValidation>
    <dataValidation type="list" allowBlank="1" showInputMessage="1" showErrorMessage="1" sqref="M5:M1048576" xr:uid="{00000000-0002-0000-0500-000003000000}">
      <formula1>"3,5"</formula1>
    </dataValidation>
    <dataValidation type="list" allowBlank="1" showInputMessage="1" showErrorMessage="1" sqref="N5:N1048576" xr:uid="{00000000-0002-0000-0500-000004000000}">
      <formula1>"Antisense,Both,Sense,Unstranded"</formula1>
    </dataValidation>
    <dataValidation type="list" allowBlank="1" showInputMessage="1" showErrorMessage="1" sqref="O5:O1048576" xr:uid="{00000000-0002-0000-0500-000005000000}">
      <formula1>"Yes,No"</formula1>
    </dataValidation>
    <dataValidation type="list" allowBlank="1" showInputMessage="1" showErrorMessage="1" sqref="T5:T1048576" xr:uid="{00000000-0002-0000-0500-000006000000}">
      <formula1>"Dual,Single"</formula1>
    </dataValidation>
    <dataValidation type="list" allowBlank="1" showInputMessage="1" showErrorMessage="1" sqref="X5:X1048576" xr:uid="{00000000-0002-0000-0500-000007000000}">
      <formula1>"CD41-,CD41+"</formula1>
    </dataValidation>
    <dataValidation type="list" allowBlank="1" showInputMessage="1" showErrorMessage="1" sqref="AC5:AC1048576" xr:uid="{00000000-0002-0000-0500-000009000000}">
      <formula1>"GENOMIC,GENOMIC SINGLE CELL,TRANSCRIPTOMIC,TRANSCRIPTOMIC SINGLE CELL,METAGENOMIC,METATRANSCRIPTOMIC,SYNTHETIC,VIRAL RNA,OTHER"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0000000}">
          <x14:formula1>
            <xm:f>cell_suspension!$B$5:$B$100</xm:f>
          </x14:formula1>
          <xm:sqref>C5:C1048576</xm:sqref>
        </x14:dataValidation>
        <x14:dataValidation type="list" allowBlank="1" showInputMessage="1" showErrorMessage="1" xr:uid="{00000000-0002-0000-0500-000008000000}">
          <x14:formula1>
            <xm:f>data_values!$A$2:$A$32</xm:f>
          </x14:formula1>
          <xm:sqref>AB5:AB1048576</xm:sqref>
        </x14:dataValidation>
        <x14:dataValidation type="list" allowBlank="1" showInputMessage="1" showErrorMessage="1" xr:uid="{00000000-0002-0000-0500-00000A000000}">
          <x14:formula1>
            <xm:f>data_values!$B$2:$B$42</xm:f>
          </x14:formula1>
          <xm:sqref>AD5:AD1048576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4"/>
  <sheetViews>
    <sheetView workbookViewId="0"/>
  </sheetViews>
  <sheetFormatPr baseColWidth="10" defaultColWidth="8.83203125" defaultRowHeight="15" x14ac:dyDescent="0.2"/>
  <cols>
    <col min="1" max="1" width="38.6640625" customWidth="1"/>
    <col min="2" max="2" width="39.6640625" customWidth="1"/>
    <col min="3" max="3" width="35.6640625" customWidth="1"/>
  </cols>
  <sheetData>
    <row r="1" spans="1:3" x14ac:dyDescent="0.2">
      <c r="A1" t="s">
        <v>200</v>
      </c>
      <c r="B1" t="s">
        <v>206</v>
      </c>
      <c r="C1" t="s">
        <v>283</v>
      </c>
    </row>
    <row r="2" spans="1:3" x14ac:dyDescent="0.2">
      <c r="A2" t="s">
        <v>209</v>
      </c>
      <c r="B2" t="s">
        <v>238</v>
      </c>
      <c r="C2" t="s">
        <v>311</v>
      </c>
    </row>
    <row r="3" spans="1:3" x14ac:dyDescent="0.2">
      <c r="A3" t="s">
        <v>138</v>
      </c>
      <c r="B3" t="s">
        <v>239</v>
      </c>
      <c r="C3" t="s">
        <v>312</v>
      </c>
    </row>
    <row r="4" spans="1:3" x14ac:dyDescent="0.2">
      <c r="A4" t="s">
        <v>202</v>
      </c>
      <c r="B4" t="s">
        <v>240</v>
      </c>
      <c r="C4" t="s">
        <v>313</v>
      </c>
    </row>
    <row r="5" spans="1:3" x14ac:dyDescent="0.2">
      <c r="A5" t="s">
        <v>210</v>
      </c>
      <c r="B5" t="s">
        <v>208</v>
      </c>
      <c r="C5" t="s">
        <v>314</v>
      </c>
    </row>
    <row r="6" spans="1:3" x14ac:dyDescent="0.2">
      <c r="A6" t="s">
        <v>211</v>
      </c>
      <c r="B6" t="s">
        <v>241</v>
      </c>
      <c r="C6" t="s">
        <v>315</v>
      </c>
    </row>
    <row r="7" spans="1:3" x14ac:dyDescent="0.2">
      <c r="A7" t="s">
        <v>212</v>
      </c>
      <c r="B7" t="s">
        <v>242</v>
      </c>
      <c r="C7" t="s">
        <v>316</v>
      </c>
    </row>
    <row r="8" spans="1:3" x14ac:dyDescent="0.2">
      <c r="A8" t="s">
        <v>213</v>
      </c>
      <c r="B8" t="s">
        <v>243</v>
      </c>
      <c r="C8" t="s">
        <v>317</v>
      </c>
    </row>
    <row r="9" spans="1:3" x14ac:dyDescent="0.2">
      <c r="A9" t="s">
        <v>214</v>
      </c>
      <c r="B9" t="s">
        <v>244</v>
      </c>
      <c r="C9" t="s">
        <v>318</v>
      </c>
    </row>
    <row r="10" spans="1:3" x14ac:dyDescent="0.2">
      <c r="A10" t="s">
        <v>215</v>
      </c>
      <c r="B10" t="s">
        <v>245</v>
      </c>
      <c r="C10" t="s">
        <v>319</v>
      </c>
    </row>
    <row r="11" spans="1:3" x14ac:dyDescent="0.2">
      <c r="A11" t="s">
        <v>216</v>
      </c>
      <c r="B11" t="s">
        <v>246</v>
      </c>
      <c r="C11" t="s">
        <v>320</v>
      </c>
    </row>
    <row r="12" spans="1:3" x14ac:dyDescent="0.2">
      <c r="A12" t="s">
        <v>217</v>
      </c>
      <c r="B12" t="s">
        <v>247</v>
      </c>
      <c r="C12" t="s">
        <v>321</v>
      </c>
    </row>
    <row r="13" spans="1:3" x14ac:dyDescent="0.2">
      <c r="A13" t="s">
        <v>218</v>
      </c>
      <c r="B13" t="s">
        <v>248</v>
      </c>
      <c r="C13" t="s">
        <v>322</v>
      </c>
    </row>
    <row r="14" spans="1:3" x14ac:dyDescent="0.2">
      <c r="A14" t="s">
        <v>219</v>
      </c>
      <c r="B14" t="s">
        <v>249</v>
      </c>
      <c r="C14" t="s">
        <v>323</v>
      </c>
    </row>
    <row r="15" spans="1:3" x14ac:dyDescent="0.2">
      <c r="A15" t="s">
        <v>220</v>
      </c>
      <c r="B15" t="s">
        <v>250</v>
      </c>
      <c r="C15" t="s">
        <v>324</v>
      </c>
    </row>
    <row r="16" spans="1:3" x14ac:dyDescent="0.2">
      <c r="A16" t="s">
        <v>221</v>
      </c>
      <c r="B16" t="s">
        <v>251</v>
      </c>
      <c r="C16" t="s">
        <v>325</v>
      </c>
    </row>
    <row r="17" spans="1:3" x14ac:dyDescent="0.2">
      <c r="A17" t="s">
        <v>222</v>
      </c>
      <c r="B17" t="s">
        <v>252</v>
      </c>
      <c r="C17" t="s">
        <v>326</v>
      </c>
    </row>
    <row r="18" spans="1:3" x14ac:dyDescent="0.2">
      <c r="A18" t="s">
        <v>223</v>
      </c>
      <c r="B18" t="s">
        <v>253</v>
      </c>
      <c r="C18" t="s">
        <v>327</v>
      </c>
    </row>
    <row r="19" spans="1:3" x14ac:dyDescent="0.2">
      <c r="A19" t="s">
        <v>224</v>
      </c>
      <c r="B19" t="s">
        <v>254</v>
      </c>
      <c r="C19" t="s">
        <v>328</v>
      </c>
    </row>
    <row r="20" spans="1:3" x14ac:dyDescent="0.2">
      <c r="A20" t="s">
        <v>225</v>
      </c>
      <c r="B20" t="s">
        <v>255</v>
      </c>
      <c r="C20" t="s">
        <v>329</v>
      </c>
    </row>
    <row r="21" spans="1:3" x14ac:dyDescent="0.2">
      <c r="A21" t="s">
        <v>226</v>
      </c>
      <c r="B21" t="s">
        <v>224</v>
      </c>
      <c r="C21" t="s">
        <v>330</v>
      </c>
    </row>
    <row r="22" spans="1:3" x14ac:dyDescent="0.2">
      <c r="A22" t="s">
        <v>227</v>
      </c>
      <c r="B22" t="s">
        <v>256</v>
      </c>
      <c r="C22" t="s">
        <v>331</v>
      </c>
    </row>
    <row r="23" spans="1:3" x14ac:dyDescent="0.2">
      <c r="A23" t="s">
        <v>228</v>
      </c>
      <c r="B23" t="s">
        <v>257</v>
      </c>
      <c r="C23" t="s">
        <v>332</v>
      </c>
    </row>
    <row r="24" spans="1:3" x14ac:dyDescent="0.2">
      <c r="A24" t="s">
        <v>229</v>
      </c>
      <c r="B24" t="s">
        <v>258</v>
      </c>
      <c r="C24" t="s">
        <v>285</v>
      </c>
    </row>
    <row r="25" spans="1:3" x14ac:dyDescent="0.2">
      <c r="A25" t="s">
        <v>230</v>
      </c>
      <c r="B25" t="s">
        <v>259</v>
      </c>
      <c r="C25" t="s">
        <v>333</v>
      </c>
    </row>
    <row r="26" spans="1:3" x14ac:dyDescent="0.2">
      <c r="A26" t="s">
        <v>231</v>
      </c>
      <c r="B26" t="s">
        <v>260</v>
      </c>
      <c r="C26" t="s">
        <v>334</v>
      </c>
    </row>
    <row r="27" spans="1:3" x14ac:dyDescent="0.2">
      <c r="A27" t="s">
        <v>232</v>
      </c>
      <c r="B27" t="s">
        <v>261</v>
      </c>
      <c r="C27" t="s">
        <v>335</v>
      </c>
    </row>
    <row r="28" spans="1:3" x14ac:dyDescent="0.2">
      <c r="A28" t="s">
        <v>233</v>
      </c>
      <c r="B28" t="s">
        <v>262</v>
      </c>
      <c r="C28" t="s">
        <v>336</v>
      </c>
    </row>
    <row r="29" spans="1:3" x14ac:dyDescent="0.2">
      <c r="A29" t="s">
        <v>234</v>
      </c>
      <c r="B29" t="s">
        <v>263</v>
      </c>
      <c r="C29" t="s">
        <v>337</v>
      </c>
    </row>
    <row r="30" spans="1:3" x14ac:dyDescent="0.2">
      <c r="A30" t="s">
        <v>235</v>
      </c>
      <c r="B30" t="s">
        <v>264</v>
      </c>
      <c r="C30" t="s">
        <v>338</v>
      </c>
    </row>
    <row r="31" spans="1:3" x14ac:dyDescent="0.2">
      <c r="A31" t="s">
        <v>236</v>
      </c>
      <c r="B31" t="s">
        <v>265</v>
      </c>
      <c r="C31" t="s">
        <v>339</v>
      </c>
    </row>
    <row r="32" spans="1:3" x14ac:dyDescent="0.2">
      <c r="A32" t="s">
        <v>237</v>
      </c>
      <c r="B32" t="s">
        <v>266</v>
      </c>
      <c r="C32" t="s">
        <v>340</v>
      </c>
    </row>
    <row r="33" spans="2:3" x14ac:dyDescent="0.2">
      <c r="B33" t="s">
        <v>267</v>
      </c>
      <c r="C33" t="s">
        <v>341</v>
      </c>
    </row>
    <row r="34" spans="2:3" x14ac:dyDescent="0.2">
      <c r="B34" t="s">
        <v>268</v>
      </c>
      <c r="C34" t="s">
        <v>342</v>
      </c>
    </row>
    <row r="35" spans="2:3" x14ac:dyDescent="0.2">
      <c r="B35" t="s">
        <v>269</v>
      </c>
      <c r="C35" t="s">
        <v>343</v>
      </c>
    </row>
    <row r="36" spans="2:3" x14ac:dyDescent="0.2">
      <c r="B36" t="s">
        <v>270</v>
      </c>
      <c r="C36" t="s">
        <v>344</v>
      </c>
    </row>
    <row r="37" spans="2:3" x14ac:dyDescent="0.2">
      <c r="B37" t="s">
        <v>271</v>
      </c>
      <c r="C37" t="s">
        <v>345</v>
      </c>
    </row>
    <row r="38" spans="2:3" x14ac:dyDescent="0.2">
      <c r="B38" t="s">
        <v>272</v>
      </c>
      <c r="C38" t="s">
        <v>346</v>
      </c>
    </row>
    <row r="39" spans="2:3" x14ac:dyDescent="0.2">
      <c r="B39" t="s">
        <v>273</v>
      </c>
      <c r="C39" t="s">
        <v>347</v>
      </c>
    </row>
    <row r="40" spans="2:3" x14ac:dyDescent="0.2">
      <c r="B40" t="s">
        <v>274</v>
      </c>
      <c r="C40" t="s">
        <v>348</v>
      </c>
    </row>
    <row r="41" spans="2:3" x14ac:dyDescent="0.2">
      <c r="B41" t="s">
        <v>275</v>
      </c>
      <c r="C41" t="s">
        <v>349</v>
      </c>
    </row>
    <row r="42" spans="2:3" x14ac:dyDescent="0.2">
      <c r="B42" t="s">
        <v>276</v>
      </c>
      <c r="C42" t="s">
        <v>350</v>
      </c>
    </row>
    <row r="43" spans="2:3" x14ac:dyDescent="0.2">
      <c r="C43" t="s">
        <v>351</v>
      </c>
    </row>
    <row r="44" spans="2:3" x14ac:dyDescent="0.2">
      <c r="C44" t="s">
        <v>352</v>
      </c>
    </row>
    <row r="45" spans="2:3" x14ac:dyDescent="0.2">
      <c r="C45" t="s">
        <v>353</v>
      </c>
    </row>
    <row r="46" spans="2:3" x14ac:dyDescent="0.2">
      <c r="C46" t="s">
        <v>354</v>
      </c>
    </row>
    <row r="47" spans="2:3" x14ac:dyDescent="0.2">
      <c r="C47" t="s">
        <v>355</v>
      </c>
    </row>
    <row r="48" spans="2:3" x14ac:dyDescent="0.2">
      <c r="C48" t="s">
        <v>356</v>
      </c>
    </row>
    <row r="49" spans="3:3" x14ac:dyDescent="0.2">
      <c r="C49" t="s">
        <v>357</v>
      </c>
    </row>
    <row r="50" spans="3:3" x14ac:dyDescent="0.2">
      <c r="C50" t="s">
        <v>358</v>
      </c>
    </row>
    <row r="51" spans="3:3" x14ac:dyDescent="0.2">
      <c r="C51" t="s">
        <v>359</v>
      </c>
    </row>
    <row r="52" spans="3:3" x14ac:dyDescent="0.2">
      <c r="C52" t="s">
        <v>360</v>
      </c>
    </row>
    <row r="53" spans="3:3" x14ac:dyDescent="0.2">
      <c r="C53" t="s">
        <v>361</v>
      </c>
    </row>
    <row r="54" spans="3:3" x14ac:dyDescent="0.2">
      <c r="C54" t="s">
        <v>362</v>
      </c>
    </row>
    <row r="55" spans="3:3" x14ac:dyDescent="0.2">
      <c r="C55" t="s">
        <v>363</v>
      </c>
    </row>
    <row r="56" spans="3:3" x14ac:dyDescent="0.2">
      <c r="C56" t="s">
        <v>364</v>
      </c>
    </row>
    <row r="57" spans="3:3" x14ac:dyDescent="0.2">
      <c r="C57" t="s">
        <v>365</v>
      </c>
    </row>
    <row r="58" spans="3:3" x14ac:dyDescent="0.2">
      <c r="C58" t="s">
        <v>366</v>
      </c>
    </row>
    <row r="59" spans="3:3" x14ac:dyDescent="0.2">
      <c r="C59" t="s">
        <v>367</v>
      </c>
    </row>
    <row r="60" spans="3:3" x14ac:dyDescent="0.2">
      <c r="C60" t="s">
        <v>368</v>
      </c>
    </row>
    <row r="61" spans="3:3" x14ac:dyDescent="0.2">
      <c r="C61" t="s">
        <v>369</v>
      </c>
    </row>
    <row r="62" spans="3:3" x14ac:dyDescent="0.2">
      <c r="C62" t="s">
        <v>370</v>
      </c>
    </row>
    <row r="63" spans="3:3" x14ac:dyDescent="0.2">
      <c r="C63" t="s">
        <v>371</v>
      </c>
    </row>
    <row r="64" spans="3:3" x14ac:dyDescent="0.2">
      <c r="C64" t="s">
        <v>372</v>
      </c>
    </row>
    <row r="65" spans="3:3" x14ac:dyDescent="0.2">
      <c r="C65" t="s">
        <v>373</v>
      </c>
    </row>
    <row r="66" spans="3:3" x14ac:dyDescent="0.2">
      <c r="C66" t="s">
        <v>374</v>
      </c>
    </row>
    <row r="67" spans="3:3" x14ac:dyDescent="0.2">
      <c r="C67" t="s">
        <v>375</v>
      </c>
    </row>
    <row r="68" spans="3:3" x14ac:dyDescent="0.2">
      <c r="C68" t="s">
        <v>376</v>
      </c>
    </row>
    <row r="69" spans="3:3" x14ac:dyDescent="0.2">
      <c r="C69" t="s">
        <v>377</v>
      </c>
    </row>
    <row r="70" spans="3:3" x14ac:dyDescent="0.2">
      <c r="C70" t="s">
        <v>378</v>
      </c>
    </row>
    <row r="71" spans="3:3" x14ac:dyDescent="0.2">
      <c r="C71" t="s">
        <v>379</v>
      </c>
    </row>
    <row r="72" spans="3:3" x14ac:dyDescent="0.2">
      <c r="C72" t="s">
        <v>380</v>
      </c>
    </row>
    <row r="73" spans="3:3" x14ac:dyDescent="0.2">
      <c r="C73" t="s">
        <v>381</v>
      </c>
    </row>
    <row r="74" spans="3:3" x14ac:dyDescent="0.2">
      <c r="C74" t="s">
        <v>382</v>
      </c>
    </row>
    <row r="75" spans="3:3" x14ac:dyDescent="0.2">
      <c r="C75" t="s">
        <v>383</v>
      </c>
    </row>
    <row r="76" spans="3:3" x14ac:dyDescent="0.2">
      <c r="C76" t="s">
        <v>384</v>
      </c>
    </row>
    <row r="77" spans="3:3" x14ac:dyDescent="0.2">
      <c r="C77" t="s">
        <v>385</v>
      </c>
    </row>
    <row r="78" spans="3:3" x14ac:dyDescent="0.2">
      <c r="C78" t="s">
        <v>386</v>
      </c>
    </row>
    <row r="79" spans="3:3" x14ac:dyDescent="0.2">
      <c r="C79" t="s">
        <v>387</v>
      </c>
    </row>
    <row r="80" spans="3:3" x14ac:dyDescent="0.2">
      <c r="C80" t="s">
        <v>388</v>
      </c>
    </row>
    <row r="81" spans="3:3" x14ac:dyDescent="0.2">
      <c r="C81" t="s">
        <v>389</v>
      </c>
    </row>
    <row r="82" spans="3:3" x14ac:dyDescent="0.2">
      <c r="C82" t="s">
        <v>390</v>
      </c>
    </row>
    <row r="83" spans="3:3" x14ac:dyDescent="0.2">
      <c r="C83" t="s">
        <v>391</v>
      </c>
    </row>
    <row r="84" spans="3:3" x14ac:dyDescent="0.2">
      <c r="C84" t="s">
        <v>392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04"/>
  <sheetViews>
    <sheetView workbookViewId="0">
      <selection activeCell="C5" sqref="C5:N5"/>
    </sheetView>
  </sheetViews>
  <sheetFormatPr baseColWidth="10" defaultColWidth="8.83203125" defaultRowHeight="15" x14ac:dyDescent="0.2"/>
  <cols>
    <col min="1" max="1" width="47.6640625" style="1" customWidth="1"/>
    <col min="2" max="2" width="70.6640625" style="1" customWidth="1"/>
    <col min="3" max="3" width="60.6640625" style="1" customWidth="1"/>
    <col min="4" max="8" width="70.6640625" style="1" customWidth="1"/>
    <col min="9" max="9" width="47.6640625" style="1" customWidth="1"/>
    <col min="10" max="11" width="55.6640625" style="1" customWidth="1"/>
    <col min="12" max="13" width="70.6640625" style="1" customWidth="1"/>
    <col min="14" max="14" width="46.6640625" style="1" customWidth="1"/>
  </cols>
  <sheetData>
    <row r="1" spans="1:14" ht="16" x14ac:dyDescent="0.2">
      <c r="A1" s="1" t="s">
        <v>0</v>
      </c>
      <c r="B1" s="1" t="s">
        <v>277</v>
      </c>
      <c r="C1" s="1" t="s">
        <v>280</v>
      </c>
      <c r="D1" s="1" t="s">
        <v>283</v>
      </c>
      <c r="E1" s="1" t="s">
        <v>286</v>
      </c>
      <c r="F1" s="1" t="s">
        <v>289</v>
      </c>
      <c r="G1" s="1" t="s">
        <v>292</v>
      </c>
      <c r="H1" s="1" t="s">
        <v>295</v>
      </c>
      <c r="I1" s="1" t="s">
        <v>297</v>
      </c>
      <c r="J1" s="1" t="s">
        <v>300</v>
      </c>
      <c r="K1" s="1" t="s">
        <v>302</v>
      </c>
      <c r="L1" s="1" t="s">
        <v>303</v>
      </c>
      <c r="M1" s="1" t="s">
        <v>306</v>
      </c>
      <c r="N1" s="1" t="s">
        <v>308</v>
      </c>
    </row>
    <row r="2" spans="1:14" ht="32" x14ac:dyDescent="0.2">
      <c r="A2" s="1" t="s">
        <v>1</v>
      </c>
      <c r="B2" s="1" t="s">
        <v>278</v>
      </c>
      <c r="C2" s="1" t="s">
        <v>281</v>
      </c>
      <c r="D2" s="1" t="s">
        <v>284</v>
      </c>
      <c r="E2" s="1" t="s">
        <v>287</v>
      </c>
      <c r="F2" s="1" t="s">
        <v>290</v>
      </c>
      <c r="G2" s="1" t="s">
        <v>293</v>
      </c>
      <c r="H2" s="1" t="s">
        <v>296</v>
      </c>
      <c r="I2" s="1" t="s">
        <v>298</v>
      </c>
      <c r="J2" s="1" t="s">
        <v>301</v>
      </c>
      <c r="K2" s="1" t="s">
        <v>301</v>
      </c>
      <c r="L2" s="1" t="s">
        <v>304</v>
      </c>
      <c r="M2" s="1" t="s">
        <v>307</v>
      </c>
      <c r="N2" s="1" t="s">
        <v>309</v>
      </c>
    </row>
    <row r="3" spans="1:14" ht="16" x14ac:dyDescent="0.2">
      <c r="A3" s="1" t="s">
        <v>2</v>
      </c>
      <c r="B3" s="1" t="s">
        <v>279</v>
      </c>
      <c r="C3" s="1" t="s">
        <v>282</v>
      </c>
      <c r="D3" s="1" t="s">
        <v>285</v>
      </c>
      <c r="E3" s="1" t="s">
        <v>288</v>
      </c>
      <c r="F3" s="1" t="s">
        <v>291</v>
      </c>
      <c r="G3" s="1" t="s">
        <v>294</v>
      </c>
      <c r="H3" s="1" t="s">
        <v>113</v>
      </c>
      <c r="I3" s="1" t="s">
        <v>299</v>
      </c>
      <c r="J3" s="1" t="s">
        <v>113</v>
      </c>
      <c r="K3" s="1" t="s">
        <v>294</v>
      </c>
      <c r="L3" s="1" t="s">
        <v>305</v>
      </c>
      <c r="M3" s="1">
        <v>6</v>
      </c>
      <c r="N3" s="1" t="s">
        <v>310</v>
      </c>
    </row>
    <row r="4" spans="1:14" x14ac:dyDescent="0.2">
      <c r="A4" s="2" t="s">
        <v>18</v>
      </c>
    </row>
    <row r="5" spans="1:14" s="3" customFormat="1" ht="16" x14ac:dyDescent="0.2">
      <c r="A5" s="4" t="str">
        <f t="array" ref="A5:A100">IF(ISBLANK(C5:C100)*ISBLANK(D5:D100)*ISBLANK(E5:E100)*ISBLANK(F5:F100), "", IF(study!$A$5 &lt;&gt; "", study!$A$5, "" ))</f>
        <v>STUDY004</v>
      </c>
      <c r="B5" s="4" t="str">
        <f t="array" ref="B5:B100">IF(ISBLANK(C5:C100)*ISBLANK(D5:D100)*ISBLANK(E5:E100)*ISBLANK(F5:F100), "", CONCATENATE("SEQ", TEXT(ROW()-4,"000")))</f>
        <v>SEQ001</v>
      </c>
      <c r="C5" s="3" t="s">
        <v>282</v>
      </c>
      <c r="D5" s="3" t="s">
        <v>285</v>
      </c>
      <c r="E5" s="3" t="s">
        <v>288</v>
      </c>
      <c r="F5" s="3" t="s">
        <v>291</v>
      </c>
      <c r="G5" s="3" t="s">
        <v>294</v>
      </c>
      <c r="H5" s="3" t="s">
        <v>113</v>
      </c>
      <c r="I5" s="3" t="s">
        <v>299</v>
      </c>
      <c r="J5" s="3" t="s">
        <v>113</v>
      </c>
      <c r="K5" s="3" t="s">
        <v>294</v>
      </c>
      <c r="L5" s="3" t="s">
        <v>305</v>
      </c>
      <c r="M5" s="3">
        <v>6</v>
      </c>
      <c r="N5" s="3" t="s">
        <v>310</v>
      </c>
    </row>
    <row r="6" spans="1:14" s="3" customFormat="1" x14ac:dyDescent="0.2">
      <c r="A6" s="4" t="str">
        <v/>
      </c>
      <c r="B6" s="4" t="str">
        <v/>
      </c>
    </row>
    <row r="7" spans="1:14" s="3" customFormat="1" x14ac:dyDescent="0.2">
      <c r="A7" s="4" t="str">
        <v/>
      </c>
      <c r="B7" s="4" t="str">
        <v/>
      </c>
    </row>
    <row r="8" spans="1:14" s="3" customFormat="1" x14ac:dyDescent="0.2">
      <c r="A8" s="4" t="str">
        <v/>
      </c>
      <c r="B8" s="4" t="str">
        <v/>
      </c>
    </row>
    <row r="9" spans="1:14" s="3" customFormat="1" x14ac:dyDescent="0.2">
      <c r="A9" s="4" t="str">
        <v/>
      </c>
      <c r="B9" s="4" t="str">
        <v/>
      </c>
    </row>
    <row r="10" spans="1:14" s="3" customFormat="1" x14ac:dyDescent="0.2">
      <c r="A10" s="4" t="str">
        <v/>
      </c>
      <c r="B10" s="4" t="str">
        <v/>
      </c>
    </row>
    <row r="11" spans="1:14" s="3" customFormat="1" x14ac:dyDescent="0.2">
      <c r="A11" s="4" t="str">
        <v/>
      </c>
      <c r="B11" s="4" t="str">
        <v/>
      </c>
    </row>
    <row r="12" spans="1:14" s="3" customFormat="1" x14ac:dyDescent="0.2">
      <c r="A12" s="4" t="str">
        <v/>
      </c>
      <c r="B12" s="4" t="str">
        <v/>
      </c>
    </row>
    <row r="13" spans="1:14" s="3" customFormat="1" x14ac:dyDescent="0.2">
      <c r="A13" s="4" t="str">
        <v/>
      </c>
      <c r="B13" s="4" t="str">
        <v/>
      </c>
    </row>
    <row r="14" spans="1:14" s="3" customFormat="1" x14ac:dyDescent="0.2">
      <c r="A14" s="4" t="str">
        <v/>
      </c>
      <c r="B14" s="4" t="str">
        <v/>
      </c>
    </row>
    <row r="15" spans="1:14" s="3" customFormat="1" x14ac:dyDescent="0.2">
      <c r="A15" s="4" t="str">
        <v/>
      </c>
      <c r="B15" s="4" t="str">
        <v/>
      </c>
    </row>
    <row r="16" spans="1:14" s="3" customFormat="1" x14ac:dyDescent="0.2">
      <c r="A16" s="4" t="str">
        <v/>
      </c>
      <c r="B16" s="4" t="str">
        <v/>
      </c>
    </row>
    <row r="17" spans="1:2" s="3" customFormat="1" x14ac:dyDescent="0.2">
      <c r="A17" s="4" t="str">
        <v/>
      </c>
      <c r="B17" s="4" t="str">
        <v/>
      </c>
    </row>
    <row r="18" spans="1:2" s="3" customFormat="1" x14ac:dyDescent="0.2">
      <c r="A18" s="4" t="str">
        <v/>
      </c>
      <c r="B18" s="4" t="str">
        <v/>
      </c>
    </row>
    <row r="19" spans="1:2" s="3" customFormat="1" x14ac:dyDescent="0.2">
      <c r="A19" s="4" t="str">
        <v/>
      </c>
      <c r="B19" s="4" t="str">
        <v/>
      </c>
    </row>
    <row r="20" spans="1:2" s="3" customFormat="1" x14ac:dyDescent="0.2">
      <c r="A20" s="4" t="str">
        <v/>
      </c>
      <c r="B20" s="4" t="str">
        <v/>
      </c>
    </row>
    <row r="21" spans="1:2" s="3" customFormat="1" x14ac:dyDescent="0.2">
      <c r="A21" s="4" t="str">
        <v/>
      </c>
      <c r="B21" s="4" t="str">
        <v/>
      </c>
    </row>
    <row r="22" spans="1:2" s="3" customFormat="1" x14ac:dyDescent="0.2">
      <c r="A22" s="4" t="str">
        <v/>
      </c>
      <c r="B22" s="4" t="str">
        <v/>
      </c>
    </row>
    <row r="23" spans="1:2" s="3" customFormat="1" x14ac:dyDescent="0.2">
      <c r="A23" s="4" t="str">
        <v/>
      </c>
      <c r="B23" s="4" t="str">
        <v/>
      </c>
    </row>
    <row r="24" spans="1:2" s="3" customFormat="1" x14ac:dyDescent="0.2">
      <c r="A24" s="4" t="str">
        <v/>
      </c>
      <c r="B24" s="4" t="str">
        <v/>
      </c>
    </row>
    <row r="25" spans="1:2" s="3" customFormat="1" x14ac:dyDescent="0.2">
      <c r="A25" s="4" t="str">
        <v/>
      </c>
      <c r="B25" s="4" t="str">
        <v/>
      </c>
    </row>
    <row r="26" spans="1:2" s="3" customFormat="1" x14ac:dyDescent="0.2">
      <c r="A26" s="4" t="str">
        <v/>
      </c>
      <c r="B26" s="4" t="str">
        <v/>
      </c>
    </row>
    <row r="27" spans="1:2" s="3" customFormat="1" x14ac:dyDescent="0.2">
      <c r="A27" s="4" t="str">
        <v/>
      </c>
      <c r="B27" s="4" t="str">
        <v/>
      </c>
    </row>
    <row r="28" spans="1:2" s="3" customFormat="1" x14ac:dyDescent="0.2">
      <c r="A28" s="4" t="str">
        <v/>
      </c>
      <c r="B28" s="4" t="str">
        <v/>
      </c>
    </row>
    <row r="29" spans="1:2" s="3" customFormat="1" x14ac:dyDescent="0.2">
      <c r="A29" s="4" t="str">
        <v/>
      </c>
      <c r="B29" s="4" t="str">
        <v/>
      </c>
    </row>
    <row r="30" spans="1:2" s="3" customFormat="1" x14ac:dyDescent="0.2">
      <c r="A30" s="4" t="str">
        <v/>
      </c>
      <c r="B30" s="4" t="str">
        <v/>
      </c>
    </row>
    <row r="31" spans="1:2" s="3" customFormat="1" x14ac:dyDescent="0.2">
      <c r="A31" s="4" t="str">
        <v/>
      </c>
      <c r="B31" s="4" t="str">
        <v/>
      </c>
    </row>
    <row r="32" spans="1:2" s="3" customFormat="1" x14ac:dyDescent="0.2">
      <c r="A32" s="4" t="str">
        <v/>
      </c>
      <c r="B32" s="4" t="str">
        <v/>
      </c>
    </row>
    <row r="33" spans="1:2" s="3" customFormat="1" x14ac:dyDescent="0.2">
      <c r="A33" s="4" t="str">
        <v/>
      </c>
      <c r="B33" s="4" t="str">
        <v/>
      </c>
    </row>
    <row r="34" spans="1:2" s="3" customFormat="1" x14ac:dyDescent="0.2">
      <c r="A34" s="4" t="str">
        <v/>
      </c>
      <c r="B34" s="4" t="str">
        <v/>
      </c>
    </row>
    <row r="35" spans="1:2" s="3" customFormat="1" x14ac:dyDescent="0.2">
      <c r="A35" s="4" t="str">
        <v/>
      </c>
      <c r="B35" s="4" t="str">
        <v/>
      </c>
    </row>
    <row r="36" spans="1:2" s="3" customFormat="1" x14ac:dyDescent="0.2">
      <c r="A36" s="4" t="str">
        <v/>
      </c>
      <c r="B36" s="4" t="str">
        <v/>
      </c>
    </row>
    <row r="37" spans="1:2" s="3" customFormat="1" x14ac:dyDescent="0.2">
      <c r="A37" s="4" t="str">
        <v/>
      </c>
      <c r="B37" s="4" t="str">
        <v/>
      </c>
    </row>
    <row r="38" spans="1:2" s="3" customFormat="1" x14ac:dyDescent="0.2">
      <c r="A38" s="4" t="str">
        <v/>
      </c>
      <c r="B38" s="4" t="str">
        <v/>
      </c>
    </row>
    <row r="39" spans="1:2" s="3" customFormat="1" x14ac:dyDescent="0.2">
      <c r="A39" s="4" t="str">
        <v/>
      </c>
      <c r="B39" s="4" t="str">
        <v/>
      </c>
    </row>
    <row r="40" spans="1:2" s="3" customFormat="1" x14ac:dyDescent="0.2">
      <c r="A40" s="4" t="str">
        <v/>
      </c>
      <c r="B40" s="4" t="str">
        <v/>
      </c>
    </row>
    <row r="41" spans="1:2" s="3" customFormat="1" x14ac:dyDescent="0.2">
      <c r="A41" s="4" t="str">
        <v/>
      </c>
      <c r="B41" s="4" t="str">
        <v/>
      </c>
    </row>
    <row r="42" spans="1:2" s="3" customFormat="1" x14ac:dyDescent="0.2">
      <c r="A42" s="4" t="str">
        <v/>
      </c>
      <c r="B42" s="4" t="str">
        <v/>
      </c>
    </row>
    <row r="43" spans="1:2" s="3" customFormat="1" x14ac:dyDescent="0.2">
      <c r="A43" s="4" t="str">
        <v/>
      </c>
      <c r="B43" s="4" t="str">
        <v/>
      </c>
    </row>
    <row r="44" spans="1:2" s="3" customFormat="1" x14ac:dyDescent="0.2">
      <c r="A44" s="4" t="str">
        <v/>
      </c>
      <c r="B44" s="4" t="str">
        <v/>
      </c>
    </row>
    <row r="45" spans="1:2" s="3" customFormat="1" x14ac:dyDescent="0.2">
      <c r="A45" s="4" t="str">
        <v/>
      </c>
      <c r="B45" s="4" t="str">
        <v/>
      </c>
    </row>
    <row r="46" spans="1:2" s="3" customFormat="1" x14ac:dyDescent="0.2">
      <c r="A46" s="4" t="str">
        <v/>
      </c>
      <c r="B46" s="4" t="str">
        <v/>
      </c>
    </row>
    <row r="47" spans="1:2" s="3" customFormat="1" x14ac:dyDescent="0.2">
      <c r="A47" s="4" t="str">
        <v/>
      </c>
      <c r="B47" s="4" t="str">
        <v/>
      </c>
    </row>
    <row r="48" spans="1:2" s="3" customFormat="1" x14ac:dyDescent="0.2">
      <c r="A48" s="4" t="str">
        <v/>
      </c>
      <c r="B48" s="4" t="str">
        <v/>
      </c>
    </row>
    <row r="49" spans="1:2" s="3" customFormat="1" x14ac:dyDescent="0.2">
      <c r="A49" s="4" t="str">
        <v/>
      </c>
      <c r="B49" s="4" t="str">
        <v/>
      </c>
    </row>
    <row r="50" spans="1:2" s="3" customFormat="1" x14ac:dyDescent="0.2">
      <c r="A50" s="4" t="str">
        <v/>
      </c>
      <c r="B50" s="4" t="str">
        <v/>
      </c>
    </row>
    <row r="51" spans="1:2" s="3" customFormat="1" x14ac:dyDescent="0.2">
      <c r="A51" s="4" t="str">
        <v/>
      </c>
      <c r="B51" s="4" t="str">
        <v/>
      </c>
    </row>
    <row r="52" spans="1:2" s="3" customFormat="1" x14ac:dyDescent="0.2">
      <c r="A52" s="4" t="str">
        <v/>
      </c>
      <c r="B52" s="4" t="str">
        <v/>
      </c>
    </row>
    <row r="53" spans="1:2" s="3" customFormat="1" x14ac:dyDescent="0.2">
      <c r="A53" s="4" t="str">
        <v/>
      </c>
      <c r="B53" s="4" t="str">
        <v/>
      </c>
    </row>
    <row r="54" spans="1:2" s="3" customFormat="1" x14ac:dyDescent="0.2">
      <c r="A54" s="4" t="str">
        <v/>
      </c>
      <c r="B54" s="4" t="str">
        <v/>
      </c>
    </row>
    <row r="55" spans="1:2" s="3" customFormat="1" x14ac:dyDescent="0.2">
      <c r="A55" s="4" t="str">
        <v/>
      </c>
      <c r="B55" s="4" t="str">
        <v/>
      </c>
    </row>
    <row r="56" spans="1:2" s="3" customFormat="1" x14ac:dyDescent="0.2">
      <c r="A56" s="4" t="str">
        <v/>
      </c>
      <c r="B56" s="4" t="str">
        <v/>
      </c>
    </row>
    <row r="57" spans="1:2" s="3" customFormat="1" x14ac:dyDescent="0.2">
      <c r="A57" s="4" t="str">
        <v/>
      </c>
      <c r="B57" s="4" t="str">
        <v/>
      </c>
    </row>
    <row r="58" spans="1:2" s="3" customFormat="1" x14ac:dyDescent="0.2">
      <c r="A58" s="4" t="str">
        <v/>
      </c>
      <c r="B58" s="4" t="str">
        <v/>
      </c>
    </row>
    <row r="59" spans="1:2" s="3" customFormat="1" x14ac:dyDescent="0.2">
      <c r="A59" s="4" t="str">
        <v/>
      </c>
      <c r="B59" s="4" t="str">
        <v/>
      </c>
    </row>
    <row r="60" spans="1:2" s="3" customFormat="1" x14ac:dyDescent="0.2">
      <c r="A60" s="4" t="str">
        <v/>
      </c>
      <c r="B60" s="4" t="str">
        <v/>
      </c>
    </row>
    <row r="61" spans="1:2" s="3" customFormat="1" x14ac:dyDescent="0.2">
      <c r="A61" s="4" t="str">
        <v/>
      </c>
      <c r="B61" s="4" t="str">
        <v/>
      </c>
    </row>
    <row r="62" spans="1:2" s="3" customFormat="1" x14ac:dyDescent="0.2">
      <c r="A62" s="4" t="str">
        <v/>
      </c>
      <c r="B62" s="4" t="str">
        <v/>
      </c>
    </row>
    <row r="63" spans="1:2" s="3" customFormat="1" x14ac:dyDescent="0.2">
      <c r="A63" s="4" t="str">
        <v/>
      </c>
      <c r="B63" s="4" t="str">
        <v/>
      </c>
    </row>
    <row r="64" spans="1:2" s="3" customFormat="1" x14ac:dyDescent="0.2">
      <c r="A64" s="4" t="str">
        <v/>
      </c>
      <c r="B64" s="4" t="str">
        <v/>
      </c>
    </row>
    <row r="65" spans="1:2" s="3" customFormat="1" x14ac:dyDescent="0.2">
      <c r="A65" s="4" t="str">
        <v/>
      </c>
      <c r="B65" s="4" t="str">
        <v/>
      </c>
    </row>
    <row r="66" spans="1:2" s="3" customFormat="1" x14ac:dyDescent="0.2">
      <c r="A66" s="4" t="str">
        <v/>
      </c>
      <c r="B66" s="4" t="str">
        <v/>
      </c>
    </row>
    <row r="67" spans="1:2" s="3" customFormat="1" x14ac:dyDescent="0.2">
      <c r="A67" s="4" t="str">
        <v/>
      </c>
      <c r="B67" s="4" t="str">
        <v/>
      </c>
    </row>
    <row r="68" spans="1:2" s="3" customFormat="1" x14ac:dyDescent="0.2">
      <c r="A68" s="4" t="str">
        <v/>
      </c>
      <c r="B68" s="4" t="str">
        <v/>
      </c>
    </row>
    <row r="69" spans="1:2" s="3" customFormat="1" x14ac:dyDescent="0.2">
      <c r="A69" s="4" t="str">
        <v/>
      </c>
      <c r="B69" s="4" t="str">
        <v/>
      </c>
    </row>
    <row r="70" spans="1:2" s="3" customFormat="1" x14ac:dyDescent="0.2">
      <c r="A70" s="4" t="str">
        <v/>
      </c>
      <c r="B70" s="4" t="str">
        <v/>
      </c>
    </row>
    <row r="71" spans="1:2" s="3" customFormat="1" x14ac:dyDescent="0.2">
      <c r="A71" s="4" t="str">
        <v/>
      </c>
      <c r="B71" s="4" t="str">
        <v/>
      </c>
    </row>
    <row r="72" spans="1:2" s="3" customFormat="1" x14ac:dyDescent="0.2">
      <c r="A72" s="4" t="str">
        <v/>
      </c>
      <c r="B72" s="4" t="str">
        <v/>
      </c>
    </row>
    <row r="73" spans="1:2" s="3" customFormat="1" x14ac:dyDescent="0.2">
      <c r="A73" s="4" t="str">
        <v/>
      </c>
      <c r="B73" s="4" t="str">
        <v/>
      </c>
    </row>
    <row r="74" spans="1:2" s="3" customFormat="1" x14ac:dyDescent="0.2">
      <c r="A74" s="4" t="str">
        <v/>
      </c>
      <c r="B74" s="4" t="str">
        <v/>
      </c>
    </row>
    <row r="75" spans="1:2" s="3" customFormat="1" x14ac:dyDescent="0.2">
      <c r="A75" s="4" t="str">
        <v/>
      </c>
      <c r="B75" s="4" t="str">
        <v/>
      </c>
    </row>
    <row r="76" spans="1:2" s="3" customFormat="1" x14ac:dyDescent="0.2">
      <c r="A76" s="4" t="str">
        <v/>
      </c>
      <c r="B76" s="4" t="str">
        <v/>
      </c>
    </row>
    <row r="77" spans="1:2" s="3" customFormat="1" x14ac:dyDescent="0.2">
      <c r="A77" s="4" t="str">
        <v/>
      </c>
      <c r="B77" s="4" t="str">
        <v/>
      </c>
    </row>
    <row r="78" spans="1:2" s="3" customFormat="1" x14ac:dyDescent="0.2">
      <c r="A78" s="4" t="str">
        <v/>
      </c>
      <c r="B78" s="4" t="str">
        <v/>
      </c>
    </row>
    <row r="79" spans="1:2" s="3" customFormat="1" x14ac:dyDescent="0.2">
      <c r="A79" s="4" t="str">
        <v/>
      </c>
      <c r="B79" s="4" t="str">
        <v/>
      </c>
    </row>
    <row r="80" spans="1:2" s="3" customFormat="1" x14ac:dyDescent="0.2">
      <c r="A80" s="4" t="str">
        <v/>
      </c>
      <c r="B80" s="4" t="str">
        <v/>
      </c>
    </row>
    <row r="81" spans="1:2" s="3" customFormat="1" x14ac:dyDescent="0.2">
      <c r="A81" s="4" t="str">
        <v/>
      </c>
      <c r="B81" s="4" t="str">
        <v/>
      </c>
    </row>
    <row r="82" spans="1:2" s="3" customFormat="1" x14ac:dyDescent="0.2">
      <c r="A82" s="4" t="str">
        <v/>
      </c>
      <c r="B82" s="4" t="str">
        <v/>
      </c>
    </row>
    <row r="83" spans="1:2" s="3" customFormat="1" x14ac:dyDescent="0.2">
      <c r="A83" s="4" t="str">
        <v/>
      </c>
      <c r="B83" s="4" t="str">
        <v/>
      </c>
    </row>
    <row r="84" spans="1:2" s="3" customFormat="1" x14ac:dyDescent="0.2">
      <c r="A84" s="4" t="str">
        <v/>
      </c>
      <c r="B84" s="4" t="str">
        <v/>
      </c>
    </row>
    <row r="85" spans="1:2" s="3" customFormat="1" x14ac:dyDescent="0.2">
      <c r="A85" s="4" t="str">
        <v/>
      </c>
      <c r="B85" s="4" t="str">
        <v/>
      </c>
    </row>
    <row r="86" spans="1:2" s="3" customFormat="1" x14ac:dyDescent="0.2">
      <c r="A86" s="4" t="str">
        <v/>
      </c>
      <c r="B86" s="4" t="str">
        <v/>
      </c>
    </row>
    <row r="87" spans="1:2" s="3" customFormat="1" x14ac:dyDescent="0.2">
      <c r="A87" s="4" t="str">
        <v/>
      </c>
      <c r="B87" s="4" t="str">
        <v/>
      </c>
    </row>
    <row r="88" spans="1:2" s="3" customFormat="1" x14ac:dyDescent="0.2">
      <c r="A88" s="4" t="str">
        <v/>
      </c>
      <c r="B88" s="4" t="str">
        <v/>
      </c>
    </row>
    <row r="89" spans="1:2" s="3" customFormat="1" x14ac:dyDescent="0.2">
      <c r="A89" s="4" t="str">
        <v/>
      </c>
      <c r="B89" s="4" t="str">
        <v/>
      </c>
    </row>
    <row r="90" spans="1:2" s="3" customFormat="1" x14ac:dyDescent="0.2">
      <c r="A90" s="4" t="str">
        <v/>
      </c>
      <c r="B90" s="4" t="str">
        <v/>
      </c>
    </row>
    <row r="91" spans="1:2" s="3" customFormat="1" x14ac:dyDescent="0.2">
      <c r="A91" s="4" t="str">
        <v/>
      </c>
      <c r="B91" s="4" t="str">
        <v/>
      </c>
    </row>
    <row r="92" spans="1:2" s="3" customFormat="1" x14ac:dyDescent="0.2">
      <c r="A92" s="4" t="str">
        <v/>
      </c>
      <c r="B92" s="4" t="str">
        <v/>
      </c>
    </row>
    <row r="93" spans="1:2" s="3" customFormat="1" x14ac:dyDescent="0.2">
      <c r="A93" s="4" t="str">
        <v/>
      </c>
      <c r="B93" s="4" t="str">
        <v/>
      </c>
    </row>
    <row r="94" spans="1:2" s="3" customFormat="1" x14ac:dyDescent="0.2">
      <c r="A94" s="4" t="str">
        <v/>
      </c>
      <c r="B94" s="4" t="str">
        <v/>
      </c>
    </row>
    <row r="95" spans="1:2" s="3" customFormat="1" x14ac:dyDescent="0.2">
      <c r="A95" s="4" t="str">
        <v/>
      </c>
      <c r="B95" s="4" t="str">
        <v/>
      </c>
    </row>
    <row r="96" spans="1:2" s="3" customFormat="1" x14ac:dyDescent="0.2">
      <c r="A96" s="4" t="str">
        <v/>
      </c>
      <c r="B96" s="4" t="str">
        <v/>
      </c>
    </row>
    <row r="97" spans="1:2" s="3" customFormat="1" x14ac:dyDescent="0.2">
      <c r="A97" s="4" t="str">
        <v/>
      </c>
      <c r="B97" s="4" t="str">
        <v/>
      </c>
    </row>
    <row r="98" spans="1:2" s="3" customFormat="1" x14ac:dyDescent="0.2">
      <c r="A98" s="4" t="str">
        <v/>
      </c>
      <c r="B98" s="4" t="str">
        <v/>
      </c>
    </row>
    <row r="99" spans="1:2" s="3" customFormat="1" x14ac:dyDescent="0.2">
      <c r="A99" s="4" t="str">
        <v/>
      </c>
      <c r="B99" s="4" t="str">
        <v/>
      </c>
    </row>
    <row r="100" spans="1:2" s="3" customFormat="1" x14ac:dyDescent="0.2">
      <c r="A100" s="4" t="str">
        <v/>
      </c>
      <c r="B100" s="4" t="str">
        <v/>
      </c>
    </row>
    <row r="101" spans="1:2" s="3" customFormat="1" x14ac:dyDescent="0.2"/>
    <row r="102" spans="1:2" s="3" customFormat="1" x14ac:dyDescent="0.2"/>
    <row r="103" spans="1:2" s="3" customFormat="1" x14ac:dyDescent="0.2"/>
    <row r="104" spans="1:2" s="3" customFormat="1" x14ac:dyDescent="0.2"/>
    <row r="105" spans="1:2" s="3" customFormat="1" x14ac:dyDescent="0.2"/>
    <row r="106" spans="1:2" s="3" customFormat="1" x14ac:dyDescent="0.2"/>
    <row r="107" spans="1:2" s="3" customFormat="1" x14ac:dyDescent="0.2"/>
    <row r="108" spans="1:2" s="3" customFormat="1" x14ac:dyDescent="0.2"/>
    <row r="109" spans="1:2" s="3" customFormat="1" x14ac:dyDescent="0.2"/>
    <row r="110" spans="1:2" s="3" customFormat="1" x14ac:dyDescent="0.2"/>
    <row r="111" spans="1:2" s="3" customFormat="1" x14ac:dyDescent="0.2"/>
    <row r="112" spans="1:2"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1:E1">
    <cfRule type="notContainsErrors" dxfId="25" priority="1">
      <formula>NOT(ISERROR(A1))</formula>
    </cfRule>
  </conditionalFormatting>
  <conditionalFormatting sqref="A2:N3">
    <cfRule type="notContainsErrors" dxfId="24" priority="8">
      <formula>NOT(ISERROR(A2))</formula>
    </cfRule>
  </conditionalFormatting>
  <conditionalFormatting sqref="A4:N4">
    <cfRule type="notContainsErrors" dxfId="23" priority="7">
      <formula>NOT(ISERROR(A4))</formula>
    </cfRule>
  </conditionalFormatting>
  <conditionalFormatting sqref="L1">
    <cfRule type="notContainsErrors" dxfId="22" priority="6">
      <formula>NOT(ISERROR(L1))</formula>
    </cfRule>
  </conditionalFormatting>
  <dataValidations count="2">
    <dataValidation type="list" allowBlank="1" showInputMessage="1" showErrorMessage="1" sqref="E5:E1048576" xr:uid="{00000000-0002-0000-0700-000001000000}">
      <formula1>"Paired,Single,Vector,Other"</formula1>
    </dataValidation>
    <dataValidation type="list" allowBlank="1" showInputMessage="1" showErrorMessage="1" sqref="F5:F1048576 L5:L1048576 I5:I1048576" xr:uid="{00000000-0002-0000-0700-000002000000}">
      <formula1>"index1,index2,read1,read2"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data_values!$C$2:$C$84</xm:f>
          </x14:formula1>
          <xm:sqref>D5:D1048576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04"/>
  <sheetViews>
    <sheetView workbookViewId="0">
      <selection activeCell="B5" sqref="B5:E5"/>
    </sheetView>
  </sheetViews>
  <sheetFormatPr baseColWidth="10" defaultColWidth="8.83203125" defaultRowHeight="15" x14ac:dyDescent="0.2"/>
  <cols>
    <col min="1" max="1" width="47.6640625" style="1" customWidth="1"/>
    <col min="2" max="13" width="70.6640625" style="1" customWidth="1"/>
  </cols>
  <sheetData>
    <row r="1" spans="1:13" ht="16" x14ac:dyDescent="0.2">
      <c r="A1" s="1" t="s">
        <v>0</v>
      </c>
      <c r="B1" s="1" t="s">
        <v>393</v>
      </c>
      <c r="C1" s="1" t="s">
        <v>396</v>
      </c>
      <c r="D1" s="1" t="s">
        <v>399</v>
      </c>
      <c r="E1" s="1" t="s">
        <v>402</v>
      </c>
      <c r="F1" s="1" t="s">
        <v>405</v>
      </c>
      <c r="G1" s="1" t="s">
        <v>407</v>
      </c>
      <c r="H1" s="1" t="s">
        <v>409</v>
      </c>
      <c r="I1" s="1" t="s">
        <v>412</v>
      </c>
      <c r="J1" s="1" t="s">
        <v>414</v>
      </c>
      <c r="K1" s="1" t="s">
        <v>417</v>
      </c>
      <c r="L1" s="1" t="s">
        <v>419</v>
      </c>
      <c r="M1" s="1" t="s">
        <v>421</v>
      </c>
    </row>
    <row r="2" spans="1:13" ht="64" x14ac:dyDescent="0.2">
      <c r="A2" s="1" t="s">
        <v>1</v>
      </c>
      <c r="B2" s="1" t="s">
        <v>394</v>
      </c>
      <c r="C2" s="1" t="s">
        <v>397</v>
      </c>
      <c r="D2" s="1" t="s">
        <v>400</v>
      </c>
      <c r="E2" s="1" t="s">
        <v>403</v>
      </c>
      <c r="F2" s="1" t="s">
        <v>406</v>
      </c>
      <c r="G2" s="1" t="s">
        <v>408</v>
      </c>
      <c r="H2" s="1" t="s">
        <v>410</v>
      </c>
      <c r="I2" s="1" t="s">
        <v>413</v>
      </c>
      <c r="J2" s="1" t="s">
        <v>415</v>
      </c>
      <c r="K2" s="1" t="s">
        <v>418</v>
      </c>
      <c r="L2" s="1" t="s">
        <v>420</v>
      </c>
      <c r="M2" s="1" t="s">
        <v>422</v>
      </c>
    </row>
    <row r="3" spans="1:13" ht="16" x14ac:dyDescent="0.2">
      <c r="A3" s="1" t="s">
        <v>2</v>
      </c>
      <c r="B3" s="1" t="s">
        <v>395</v>
      </c>
      <c r="C3" s="1" t="s">
        <v>398</v>
      </c>
      <c r="D3" s="1" t="s">
        <v>401</v>
      </c>
      <c r="E3" s="1" t="s">
        <v>404</v>
      </c>
      <c r="F3" s="1">
        <v>12458</v>
      </c>
      <c r="G3" s="1">
        <v>1842</v>
      </c>
      <c r="H3" s="1" t="s">
        <v>411</v>
      </c>
      <c r="I3" s="1">
        <v>8</v>
      </c>
      <c r="J3" s="1" t="s">
        <v>416</v>
      </c>
      <c r="K3" s="1">
        <v>0.62</v>
      </c>
      <c r="L3" s="1">
        <v>27</v>
      </c>
      <c r="M3" s="1" t="s">
        <v>423</v>
      </c>
    </row>
    <row r="4" spans="1:13" x14ac:dyDescent="0.2">
      <c r="A4" s="2" t="s">
        <v>18</v>
      </c>
    </row>
    <row r="5" spans="1:13" s="3" customFormat="1" ht="16" x14ac:dyDescent="0.2">
      <c r="A5" s="4" t="str">
        <f t="array" ref="A5:A100">IF(ISBLANK(C5:C100)*ISBLANK(D5:D100)*ISBLANK(E5:E100)*ISBLANK(F5:F100), "", IF(study!$A$5 &lt;&gt; "", study!$A$5, "" ))</f>
        <v>STUDY004</v>
      </c>
      <c r="B5" s="3" t="s">
        <v>585</v>
      </c>
      <c r="C5" s="3" t="s">
        <v>398</v>
      </c>
      <c r="D5" s="3" t="s">
        <v>401</v>
      </c>
      <c r="E5" s="3" t="s">
        <v>404</v>
      </c>
    </row>
    <row r="6" spans="1:13" s="3" customFormat="1" x14ac:dyDescent="0.2">
      <c r="A6" s="4" t="str">
        <v/>
      </c>
    </row>
    <row r="7" spans="1:13" s="3" customFormat="1" x14ac:dyDescent="0.2">
      <c r="A7" s="4" t="str">
        <v/>
      </c>
    </row>
    <row r="8" spans="1:13" s="3" customFormat="1" x14ac:dyDescent="0.2">
      <c r="A8" s="4" t="str">
        <v/>
      </c>
    </row>
    <row r="9" spans="1:13" s="3" customFormat="1" x14ac:dyDescent="0.2">
      <c r="A9" s="4" t="str">
        <v/>
      </c>
    </row>
    <row r="10" spans="1:13" s="3" customFormat="1" x14ac:dyDescent="0.2">
      <c r="A10" s="4" t="str">
        <v/>
      </c>
    </row>
    <row r="11" spans="1:13" s="3" customFormat="1" x14ac:dyDescent="0.2">
      <c r="A11" s="4" t="str">
        <v/>
      </c>
    </row>
    <row r="12" spans="1:13" s="3" customFormat="1" x14ac:dyDescent="0.2">
      <c r="A12" s="4" t="str">
        <v/>
      </c>
    </row>
    <row r="13" spans="1:13" s="3" customFormat="1" x14ac:dyDescent="0.2">
      <c r="A13" s="4" t="str">
        <v/>
      </c>
    </row>
    <row r="14" spans="1:13" s="3" customFormat="1" x14ac:dyDescent="0.2">
      <c r="A14" s="4" t="str">
        <v/>
      </c>
    </row>
    <row r="15" spans="1:13" s="3" customFormat="1" x14ac:dyDescent="0.2">
      <c r="A15" s="4" t="str">
        <v/>
      </c>
    </row>
    <row r="16" spans="1:13" s="3" customFormat="1" x14ac:dyDescent="0.2">
      <c r="A16" s="4" t="str">
        <v/>
      </c>
    </row>
    <row r="17" spans="1:1" s="3" customFormat="1" x14ac:dyDescent="0.2">
      <c r="A17" s="4" t="str">
        <v/>
      </c>
    </row>
    <row r="18" spans="1:1" s="3" customFormat="1" x14ac:dyDescent="0.2">
      <c r="A18" s="4" t="str">
        <v/>
      </c>
    </row>
    <row r="19" spans="1:1" s="3" customFormat="1" x14ac:dyDescent="0.2">
      <c r="A19" s="4" t="str">
        <v/>
      </c>
    </row>
    <row r="20" spans="1:1" s="3" customFormat="1" x14ac:dyDescent="0.2">
      <c r="A20" s="4" t="str">
        <v/>
      </c>
    </row>
    <row r="21" spans="1:1" s="3" customFormat="1" x14ac:dyDescent="0.2">
      <c r="A21" s="4" t="str">
        <v/>
      </c>
    </row>
    <row r="22" spans="1:1" s="3" customFormat="1" x14ac:dyDescent="0.2">
      <c r="A22" s="4" t="str">
        <v/>
      </c>
    </row>
    <row r="23" spans="1:1" s="3" customFormat="1" x14ac:dyDescent="0.2">
      <c r="A23" s="4" t="str">
        <v/>
      </c>
    </row>
    <row r="24" spans="1:1" s="3" customFormat="1" x14ac:dyDescent="0.2">
      <c r="A24" s="4" t="str">
        <v/>
      </c>
    </row>
    <row r="25" spans="1:1" s="3" customFormat="1" x14ac:dyDescent="0.2">
      <c r="A25" s="4" t="str">
        <v/>
      </c>
    </row>
    <row r="26" spans="1:1" s="3" customFormat="1" x14ac:dyDescent="0.2">
      <c r="A26" s="4" t="str">
        <v/>
      </c>
    </row>
    <row r="27" spans="1:1" s="3" customFormat="1" x14ac:dyDescent="0.2">
      <c r="A27" s="4" t="str">
        <v/>
      </c>
    </row>
    <row r="28" spans="1:1" s="3" customFormat="1" x14ac:dyDescent="0.2">
      <c r="A28" s="4" t="str">
        <v/>
      </c>
    </row>
    <row r="29" spans="1:1" s="3" customFormat="1" x14ac:dyDescent="0.2">
      <c r="A29" s="4" t="str">
        <v/>
      </c>
    </row>
    <row r="30" spans="1:1" s="3" customFormat="1" x14ac:dyDescent="0.2">
      <c r="A30" s="4" t="str">
        <v/>
      </c>
    </row>
    <row r="31" spans="1:1" s="3" customFormat="1" x14ac:dyDescent="0.2">
      <c r="A31" s="4" t="str">
        <v/>
      </c>
    </row>
    <row r="32" spans="1:1" s="3" customFormat="1" x14ac:dyDescent="0.2">
      <c r="A32" s="4" t="str">
        <v/>
      </c>
    </row>
    <row r="33" spans="1:1" s="3" customFormat="1" x14ac:dyDescent="0.2">
      <c r="A33" s="4" t="str">
        <v/>
      </c>
    </row>
    <row r="34" spans="1:1" s="3" customFormat="1" x14ac:dyDescent="0.2">
      <c r="A34" s="4" t="str">
        <v/>
      </c>
    </row>
    <row r="35" spans="1:1" s="3" customFormat="1" x14ac:dyDescent="0.2">
      <c r="A35" s="4" t="str">
        <v/>
      </c>
    </row>
    <row r="36" spans="1:1" s="3" customFormat="1" x14ac:dyDescent="0.2">
      <c r="A36" s="4" t="str">
        <v/>
      </c>
    </row>
    <row r="37" spans="1:1" s="3" customFormat="1" x14ac:dyDescent="0.2">
      <c r="A37" s="4" t="str">
        <v/>
      </c>
    </row>
    <row r="38" spans="1:1" s="3" customFormat="1" x14ac:dyDescent="0.2">
      <c r="A38" s="4" t="str">
        <v/>
      </c>
    </row>
    <row r="39" spans="1:1" s="3" customFormat="1" x14ac:dyDescent="0.2">
      <c r="A39" s="4" t="str">
        <v/>
      </c>
    </row>
    <row r="40" spans="1:1" s="3" customFormat="1" x14ac:dyDescent="0.2">
      <c r="A40" s="4" t="str">
        <v/>
      </c>
    </row>
    <row r="41" spans="1:1" s="3" customFormat="1" x14ac:dyDescent="0.2">
      <c r="A41" s="4" t="str">
        <v/>
      </c>
    </row>
    <row r="42" spans="1:1" s="3" customFormat="1" x14ac:dyDescent="0.2">
      <c r="A42" s="4" t="str">
        <v/>
      </c>
    </row>
    <row r="43" spans="1:1" s="3" customFormat="1" x14ac:dyDescent="0.2">
      <c r="A43" s="4" t="str">
        <v/>
      </c>
    </row>
    <row r="44" spans="1:1" s="3" customFormat="1" x14ac:dyDescent="0.2">
      <c r="A44" s="4" t="str">
        <v/>
      </c>
    </row>
    <row r="45" spans="1:1" s="3" customFormat="1" x14ac:dyDescent="0.2">
      <c r="A45" s="4" t="str">
        <v/>
      </c>
    </row>
    <row r="46" spans="1:1" s="3" customFormat="1" x14ac:dyDescent="0.2">
      <c r="A46" s="4" t="str">
        <v/>
      </c>
    </row>
    <row r="47" spans="1:1" s="3" customFormat="1" x14ac:dyDescent="0.2">
      <c r="A47" s="4" t="str">
        <v/>
      </c>
    </row>
    <row r="48" spans="1:1" s="3" customFormat="1" x14ac:dyDescent="0.2">
      <c r="A48" s="4" t="str">
        <v/>
      </c>
    </row>
    <row r="49" spans="1:1" s="3" customFormat="1" x14ac:dyDescent="0.2">
      <c r="A49" s="4" t="str">
        <v/>
      </c>
    </row>
    <row r="50" spans="1:1" s="3" customFormat="1" x14ac:dyDescent="0.2">
      <c r="A50" s="4" t="str">
        <v/>
      </c>
    </row>
    <row r="51" spans="1:1" s="3" customFormat="1" x14ac:dyDescent="0.2">
      <c r="A51" s="4" t="str">
        <v/>
      </c>
    </row>
    <row r="52" spans="1:1" s="3" customFormat="1" x14ac:dyDescent="0.2">
      <c r="A52" s="4" t="str">
        <v/>
      </c>
    </row>
    <row r="53" spans="1:1" s="3" customFormat="1" x14ac:dyDescent="0.2">
      <c r="A53" s="4" t="str">
        <v/>
      </c>
    </row>
    <row r="54" spans="1:1" s="3" customFormat="1" x14ac:dyDescent="0.2">
      <c r="A54" s="4" t="str">
        <v/>
      </c>
    </row>
    <row r="55" spans="1:1" s="3" customFormat="1" x14ac:dyDescent="0.2">
      <c r="A55" s="4" t="str">
        <v/>
      </c>
    </row>
    <row r="56" spans="1:1" s="3" customFormat="1" x14ac:dyDescent="0.2">
      <c r="A56" s="4" t="str">
        <v/>
      </c>
    </row>
    <row r="57" spans="1:1" s="3" customFormat="1" x14ac:dyDescent="0.2">
      <c r="A57" s="4" t="str">
        <v/>
      </c>
    </row>
    <row r="58" spans="1:1" s="3" customFormat="1" x14ac:dyDescent="0.2">
      <c r="A58" s="4" t="str">
        <v/>
      </c>
    </row>
    <row r="59" spans="1:1" s="3" customFormat="1" x14ac:dyDescent="0.2">
      <c r="A59" s="4" t="str">
        <v/>
      </c>
    </row>
    <row r="60" spans="1:1" s="3" customFormat="1" x14ac:dyDescent="0.2">
      <c r="A60" s="4" t="str">
        <v/>
      </c>
    </row>
    <row r="61" spans="1:1" s="3" customFormat="1" x14ac:dyDescent="0.2">
      <c r="A61" s="4" t="str">
        <v/>
      </c>
    </row>
    <row r="62" spans="1:1" s="3" customFormat="1" x14ac:dyDescent="0.2">
      <c r="A62" s="4" t="str">
        <v/>
      </c>
    </row>
    <row r="63" spans="1:1" s="3" customFormat="1" x14ac:dyDescent="0.2">
      <c r="A63" s="4" t="str">
        <v/>
      </c>
    </row>
    <row r="64" spans="1:1" s="3" customFormat="1" x14ac:dyDescent="0.2">
      <c r="A64" s="4" t="str">
        <v/>
      </c>
    </row>
    <row r="65" spans="1:1" s="3" customFormat="1" x14ac:dyDescent="0.2">
      <c r="A65" s="4" t="str">
        <v/>
      </c>
    </row>
    <row r="66" spans="1:1" s="3" customFormat="1" x14ac:dyDescent="0.2">
      <c r="A66" s="4" t="str">
        <v/>
      </c>
    </row>
    <row r="67" spans="1:1" s="3" customFormat="1" x14ac:dyDescent="0.2">
      <c r="A67" s="4" t="str">
        <v/>
      </c>
    </row>
    <row r="68" spans="1:1" s="3" customFormat="1" x14ac:dyDescent="0.2">
      <c r="A68" s="4" t="str">
        <v/>
      </c>
    </row>
    <row r="69" spans="1:1" s="3" customFormat="1" x14ac:dyDescent="0.2">
      <c r="A69" s="4" t="str">
        <v/>
      </c>
    </row>
    <row r="70" spans="1:1" s="3" customFormat="1" x14ac:dyDescent="0.2">
      <c r="A70" s="4" t="str">
        <v/>
      </c>
    </row>
    <row r="71" spans="1:1" s="3" customFormat="1" x14ac:dyDescent="0.2">
      <c r="A71" s="4" t="str">
        <v/>
      </c>
    </row>
    <row r="72" spans="1:1" s="3" customFormat="1" x14ac:dyDescent="0.2">
      <c r="A72" s="4" t="str">
        <v/>
      </c>
    </row>
    <row r="73" spans="1:1" s="3" customFormat="1" x14ac:dyDescent="0.2">
      <c r="A73" s="4" t="str">
        <v/>
      </c>
    </row>
    <row r="74" spans="1:1" s="3" customFormat="1" x14ac:dyDescent="0.2">
      <c r="A74" s="4" t="str">
        <v/>
      </c>
    </row>
    <row r="75" spans="1:1" s="3" customFormat="1" x14ac:dyDescent="0.2">
      <c r="A75" s="4" t="str">
        <v/>
      </c>
    </row>
    <row r="76" spans="1:1" s="3" customFormat="1" x14ac:dyDescent="0.2">
      <c r="A76" s="4" t="str">
        <v/>
      </c>
    </row>
    <row r="77" spans="1:1" s="3" customFormat="1" x14ac:dyDescent="0.2">
      <c r="A77" s="4" t="str">
        <v/>
      </c>
    </row>
    <row r="78" spans="1:1" s="3" customFormat="1" x14ac:dyDescent="0.2">
      <c r="A78" s="4" t="str">
        <v/>
      </c>
    </row>
    <row r="79" spans="1:1" s="3" customFormat="1" x14ac:dyDescent="0.2">
      <c r="A79" s="4" t="str">
        <v/>
      </c>
    </row>
    <row r="80" spans="1:1" s="3" customFormat="1" x14ac:dyDescent="0.2">
      <c r="A80" s="4" t="str">
        <v/>
      </c>
    </row>
    <row r="81" spans="1:1" s="3" customFormat="1" x14ac:dyDescent="0.2">
      <c r="A81" s="4" t="str">
        <v/>
      </c>
    </row>
    <row r="82" spans="1:1" s="3" customFormat="1" x14ac:dyDescent="0.2">
      <c r="A82" s="4" t="str">
        <v/>
      </c>
    </row>
    <row r="83" spans="1:1" s="3" customFormat="1" x14ac:dyDescent="0.2">
      <c r="A83" s="4" t="str">
        <v/>
      </c>
    </row>
    <row r="84" spans="1:1" s="3" customFormat="1" x14ac:dyDescent="0.2">
      <c r="A84" s="4" t="str">
        <v/>
      </c>
    </row>
    <row r="85" spans="1:1" s="3" customFormat="1" x14ac:dyDescent="0.2">
      <c r="A85" s="4" t="str">
        <v/>
      </c>
    </row>
    <row r="86" spans="1:1" s="3" customFormat="1" x14ac:dyDescent="0.2">
      <c r="A86" s="4" t="str">
        <v/>
      </c>
    </row>
    <row r="87" spans="1:1" s="3" customFormat="1" x14ac:dyDescent="0.2">
      <c r="A87" s="4" t="str">
        <v/>
      </c>
    </row>
    <row r="88" spans="1:1" s="3" customFormat="1" x14ac:dyDescent="0.2">
      <c r="A88" s="4" t="str">
        <v/>
      </c>
    </row>
    <row r="89" spans="1:1" s="3" customFormat="1" x14ac:dyDescent="0.2">
      <c r="A89" s="4" t="str">
        <v/>
      </c>
    </row>
    <row r="90" spans="1:1" s="3" customFormat="1" x14ac:dyDescent="0.2">
      <c r="A90" s="4" t="str">
        <v/>
      </c>
    </row>
    <row r="91" spans="1:1" s="3" customFormat="1" x14ac:dyDescent="0.2">
      <c r="A91" s="4" t="str">
        <v/>
      </c>
    </row>
    <row r="92" spans="1:1" s="3" customFormat="1" x14ac:dyDescent="0.2">
      <c r="A92" s="4" t="str">
        <v/>
      </c>
    </row>
    <row r="93" spans="1:1" s="3" customFormat="1" x14ac:dyDescent="0.2">
      <c r="A93" s="4" t="str">
        <v/>
      </c>
    </row>
    <row r="94" spans="1:1" s="3" customFormat="1" x14ac:dyDescent="0.2">
      <c r="A94" s="4" t="str">
        <v/>
      </c>
    </row>
    <row r="95" spans="1:1" s="3" customFormat="1" x14ac:dyDescent="0.2">
      <c r="A95" s="4" t="str">
        <v/>
      </c>
    </row>
    <row r="96" spans="1:1" s="3" customFormat="1" x14ac:dyDescent="0.2">
      <c r="A96" s="4" t="str">
        <v/>
      </c>
    </row>
    <row r="97" spans="1:1" s="3" customFormat="1" x14ac:dyDescent="0.2">
      <c r="A97" s="4" t="str">
        <v/>
      </c>
    </row>
    <row r="98" spans="1:1" s="3" customFormat="1" x14ac:dyDescent="0.2">
      <c r="A98" s="4" t="str">
        <v/>
      </c>
    </row>
    <row r="99" spans="1:1" s="3" customFormat="1" x14ac:dyDescent="0.2">
      <c r="A99" s="4" t="str">
        <v/>
      </c>
    </row>
    <row r="100" spans="1:1" s="3" customFormat="1" x14ac:dyDescent="0.2">
      <c r="A100" s="4" t="str">
        <v/>
      </c>
    </row>
    <row r="101" spans="1:1" s="3" customFormat="1" x14ac:dyDescent="0.2"/>
    <row r="102" spans="1:1" s="3" customFormat="1" x14ac:dyDescent="0.2"/>
    <row r="103" spans="1:1" s="3" customFormat="1" x14ac:dyDescent="0.2"/>
    <row r="104" spans="1:1" s="3" customFormat="1" x14ac:dyDescent="0.2"/>
    <row r="105" spans="1:1" s="3" customFormat="1" x14ac:dyDescent="0.2"/>
    <row r="106" spans="1:1" s="3" customFormat="1" x14ac:dyDescent="0.2"/>
    <row r="107" spans="1:1" s="3" customFormat="1" x14ac:dyDescent="0.2"/>
    <row r="108" spans="1:1" s="3" customFormat="1" x14ac:dyDescent="0.2"/>
    <row r="109" spans="1:1" s="3" customFormat="1" x14ac:dyDescent="0.2"/>
    <row r="110" spans="1:1" s="3" customFormat="1" x14ac:dyDescent="0.2"/>
    <row r="111" spans="1:1" s="3" customFormat="1" x14ac:dyDescent="0.2"/>
    <row r="112" spans="1:1"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1">
    <cfRule type="notContainsErrors" dxfId="21" priority="1">
      <formula>NOT(ISERROR(A1))</formula>
    </cfRule>
  </conditionalFormatting>
  <conditionalFormatting sqref="A2:M3">
    <cfRule type="notContainsErrors" dxfId="20" priority="3">
      <formula>NOT(ISERROR(A2))</formula>
    </cfRule>
  </conditionalFormatting>
  <conditionalFormatting sqref="A4:M4">
    <cfRule type="notContainsErrors" dxfId="19" priority="2">
      <formula>NOT(ISERROR(A4))</formula>
    </cfRule>
  </conditionalFormatting>
  <dataValidations count="2">
    <dataValidation type="list" allowBlank="1" showInputMessage="1" showErrorMessage="1" sqref="D5:D1048576" xr:uid="{00000000-0002-0000-0800-000000000000}">
      <formula1>"Pass,Fail"</formula1>
    </dataValidation>
    <dataValidation type="list" allowBlank="1" showInputMessage="1" showErrorMessage="1" sqref="E5:E1048576" xr:uid="{00000000-0002-0000-0800-000001000000}">
      <formula1>"Cluster,Count,Gene,tSNE coordinates,UMI"</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004"/>
  <sheetViews>
    <sheetView workbookViewId="0">
      <selection activeCell="B5" sqref="B5:O5"/>
    </sheetView>
  </sheetViews>
  <sheetFormatPr baseColWidth="10" defaultColWidth="8.83203125" defaultRowHeight="15" x14ac:dyDescent="0.2"/>
  <cols>
    <col min="1" max="1" width="47.6640625" style="1" customWidth="1"/>
    <col min="2" max="4" width="70.6640625" style="1" customWidth="1"/>
    <col min="5" max="5" width="51.6640625" style="1" customWidth="1"/>
    <col min="6" max="6" width="14.6640625" style="1" customWidth="1"/>
    <col min="7" max="7" width="9.6640625" style="1" customWidth="1"/>
    <col min="8" max="8" width="61.6640625" style="1" customWidth="1"/>
    <col min="9" max="9" width="68.6640625" style="1" customWidth="1"/>
    <col min="10" max="13" width="70.6640625" style="1" customWidth="1"/>
    <col min="14" max="14" width="68.6640625" style="1" customWidth="1"/>
    <col min="15" max="15" width="70.6640625" style="1" customWidth="1"/>
  </cols>
  <sheetData>
    <row r="1" spans="1:15" ht="96" x14ac:dyDescent="0.2">
      <c r="A1" s="1" t="s">
        <v>0</v>
      </c>
      <c r="B1" s="1" t="s">
        <v>424</v>
      </c>
      <c r="C1" s="1" t="s">
        <v>427</v>
      </c>
      <c r="D1" s="1" t="s">
        <v>430</v>
      </c>
      <c r="E1" s="1" t="s">
        <v>433</v>
      </c>
      <c r="F1" s="1" t="s">
        <v>436</v>
      </c>
      <c r="G1" s="1" t="s">
        <v>439</v>
      </c>
      <c r="H1" s="1" t="s">
        <v>442</v>
      </c>
      <c r="I1" s="1" t="s">
        <v>445</v>
      </c>
      <c r="J1" s="1" t="s">
        <v>448</v>
      </c>
      <c r="K1" s="1" t="s">
        <v>451</v>
      </c>
      <c r="L1" s="1" t="s">
        <v>454</v>
      </c>
      <c r="M1" s="1" t="s">
        <v>457</v>
      </c>
      <c r="N1" s="1" t="s">
        <v>460</v>
      </c>
      <c r="O1" s="1" t="s">
        <v>462</v>
      </c>
    </row>
    <row r="2" spans="1:15" ht="48" x14ac:dyDescent="0.2">
      <c r="A2" s="1" t="s">
        <v>1</v>
      </c>
      <c r="B2" s="1" t="s">
        <v>425</v>
      </c>
      <c r="C2" s="1" t="s">
        <v>428</v>
      </c>
      <c r="D2" s="1" t="s">
        <v>431</v>
      </c>
      <c r="E2" s="1" t="s">
        <v>434</v>
      </c>
      <c r="F2" s="1" t="s">
        <v>437</v>
      </c>
      <c r="G2" s="1" t="s">
        <v>440</v>
      </c>
      <c r="H2" s="1" t="s">
        <v>443</v>
      </c>
      <c r="I2" s="1" t="s">
        <v>446</v>
      </c>
      <c r="J2" s="1" t="s">
        <v>449</v>
      </c>
      <c r="K2" s="1" t="s">
        <v>452</v>
      </c>
      <c r="L2" s="1" t="s">
        <v>455</v>
      </c>
      <c r="M2" s="1" t="s">
        <v>458</v>
      </c>
      <c r="N2" s="1" t="s">
        <v>446</v>
      </c>
      <c r="O2" s="1" t="s">
        <v>463</v>
      </c>
    </row>
    <row r="3" spans="1:15" ht="48" x14ac:dyDescent="0.2">
      <c r="A3" s="1" t="s">
        <v>2</v>
      </c>
      <c r="B3" s="1" t="s">
        <v>426</v>
      </c>
      <c r="C3" s="1" t="s">
        <v>429</v>
      </c>
      <c r="D3" s="1" t="s">
        <v>432</v>
      </c>
      <c r="E3" s="1" t="s">
        <v>435</v>
      </c>
      <c r="F3" s="1" t="s">
        <v>438</v>
      </c>
      <c r="G3" s="1" t="s">
        <v>441</v>
      </c>
      <c r="H3" s="1" t="s">
        <v>444</v>
      </c>
      <c r="I3" s="1" t="s">
        <v>447</v>
      </c>
      <c r="J3" s="1" t="s">
        <v>450</v>
      </c>
      <c r="K3" s="1" t="s">
        <v>453</v>
      </c>
      <c r="L3" s="1" t="s">
        <v>456</v>
      </c>
      <c r="M3" s="1" t="s">
        <v>459</v>
      </c>
      <c r="N3" s="1" t="s">
        <v>461</v>
      </c>
      <c r="O3" s="1" t="s">
        <v>464</v>
      </c>
    </row>
    <row r="4" spans="1:15" x14ac:dyDescent="0.2">
      <c r="A4" s="2" t="s">
        <v>18</v>
      </c>
    </row>
    <row r="5" spans="1:15" s="3" customFormat="1" ht="32" x14ac:dyDescent="0.2">
      <c r="A5" s="4" t="str">
        <f t="array" ref="A5:A100">IF(ISBLANK(C5:C100)*ISBLANK(D5:D100)*ISBLANK(E5:E100)*ISBLANK(F5:F100), "", IF(study!$A$5 &lt;&gt; "", study!$A$5, "" ))</f>
        <v>STUDY004</v>
      </c>
      <c r="B5" s="3" t="s">
        <v>426</v>
      </c>
      <c r="C5" s="3" t="s">
        <v>429</v>
      </c>
      <c r="D5" s="3" t="s">
        <v>432</v>
      </c>
      <c r="E5" s="3" t="s">
        <v>435</v>
      </c>
      <c r="F5" s="3" t="s">
        <v>438</v>
      </c>
      <c r="G5" s="3" t="s">
        <v>441</v>
      </c>
      <c r="H5" s="3" t="s">
        <v>444</v>
      </c>
      <c r="I5" s="3" t="s">
        <v>447</v>
      </c>
      <c r="J5" s="3" t="s">
        <v>450</v>
      </c>
      <c r="K5" s="3" t="s">
        <v>453</v>
      </c>
      <c r="L5" s="3" t="s">
        <v>456</v>
      </c>
      <c r="M5" s="3" t="s">
        <v>459</v>
      </c>
      <c r="N5" s="3" t="s">
        <v>461</v>
      </c>
      <c r="O5" s="3" t="s">
        <v>464</v>
      </c>
    </row>
    <row r="6" spans="1:15" s="3" customFormat="1" x14ac:dyDescent="0.2">
      <c r="A6" s="4" t="str">
        <v/>
      </c>
    </row>
    <row r="7" spans="1:15" s="3" customFormat="1" x14ac:dyDescent="0.2">
      <c r="A7" s="4" t="str">
        <v/>
      </c>
    </row>
    <row r="8" spans="1:15" s="3" customFormat="1" x14ac:dyDescent="0.2">
      <c r="A8" s="4" t="str">
        <v/>
      </c>
    </row>
    <row r="9" spans="1:15" s="3" customFormat="1" x14ac:dyDescent="0.2">
      <c r="A9" s="4" t="str">
        <v/>
      </c>
    </row>
    <row r="10" spans="1:15" s="3" customFormat="1" x14ac:dyDescent="0.2">
      <c r="A10" s="4" t="str">
        <v/>
      </c>
    </row>
    <row r="11" spans="1:15" s="3" customFormat="1" x14ac:dyDescent="0.2">
      <c r="A11" s="4" t="str">
        <v/>
      </c>
    </row>
    <row r="12" spans="1:15" s="3" customFormat="1" x14ac:dyDescent="0.2">
      <c r="A12" s="4" t="str">
        <v/>
      </c>
    </row>
    <row r="13" spans="1:15" s="3" customFormat="1" x14ac:dyDescent="0.2">
      <c r="A13" s="4" t="str">
        <v/>
      </c>
    </row>
    <row r="14" spans="1:15" s="3" customFormat="1" x14ac:dyDescent="0.2">
      <c r="A14" s="4" t="str">
        <v/>
      </c>
    </row>
    <row r="15" spans="1:15" s="3" customFormat="1" x14ac:dyDescent="0.2">
      <c r="A15" s="4" t="str">
        <v/>
      </c>
    </row>
    <row r="16" spans="1:15" s="3" customFormat="1" x14ac:dyDescent="0.2">
      <c r="A16" s="4" t="str">
        <v/>
      </c>
    </row>
    <row r="17" spans="1:1" s="3" customFormat="1" x14ac:dyDescent="0.2">
      <c r="A17" s="4" t="str">
        <v/>
      </c>
    </row>
    <row r="18" spans="1:1" s="3" customFormat="1" x14ac:dyDescent="0.2">
      <c r="A18" s="4" t="str">
        <v/>
      </c>
    </row>
    <row r="19" spans="1:1" s="3" customFormat="1" x14ac:dyDescent="0.2">
      <c r="A19" s="4" t="str">
        <v/>
      </c>
    </row>
    <row r="20" spans="1:1" s="3" customFormat="1" x14ac:dyDescent="0.2">
      <c r="A20" s="4" t="str">
        <v/>
      </c>
    </row>
    <row r="21" spans="1:1" s="3" customFormat="1" x14ac:dyDescent="0.2">
      <c r="A21" s="4" t="str">
        <v/>
      </c>
    </row>
    <row r="22" spans="1:1" s="3" customFormat="1" x14ac:dyDescent="0.2">
      <c r="A22" s="4" t="str">
        <v/>
      </c>
    </row>
    <row r="23" spans="1:1" s="3" customFormat="1" x14ac:dyDescent="0.2">
      <c r="A23" s="4" t="str">
        <v/>
      </c>
    </row>
    <row r="24" spans="1:1" s="3" customFormat="1" x14ac:dyDescent="0.2">
      <c r="A24" s="4" t="str">
        <v/>
      </c>
    </row>
    <row r="25" spans="1:1" s="3" customFormat="1" x14ac:dyDescent="0.2">
      <c r="A25" s="4" t="str">
        <v/>
      </c>
    </row>
    <row r="26" spans="1:1" s="3" customFormat="1" x14ac:dyDescent="0.2">
      <c r="A26" s="4" t="str">
        <v/>
      </c>
    </row>
    <row r="27" spans="1:1" s="3" customFormat="1" x14ac:dyDescent="0.2">
      <c r="A27" s="4" t="str">
        <v/>
      </c>
    </row>
    <row r="28" spans="1:1" s="3" customFormat="1" x14ac:dyDescent="0.2">
      <c r="A28" s="4" t="str">
        <v/>
      </c>
    </row>
    <row r="29" spans="1:1" s="3" customFormat="1" x14ac:dyDescent="0.2">
      <c r="A29" s="4" t="str">
        <v/>
      </c>
    </row>
    <row r="30" spans="1:1" s="3" customFormat="1" x14ac:dyDescent="0.2">
      <c r="A30" s="4" t="str">
        <v/>
      </c>
    </row>
    <row r="31" spans="1:1" s="3" customFormat="1" x14ac:dyDescent="0.2">
      <c r="A31" s="4" t="str">
        <v/>
      </c>
    </row>
    <row r="32" spans="1:1" s="3" customFormat="1" x14ac:dyDescent="0.2">
      <c r="A32" s="4" t="str">
        <v/>
      </c>
    </row>
    <row r="33" spans="1:1" s="3" customFormat="1" x14ac:dyDescent="0.2">
      <c r="A33" s="4" t="str">
        <v/>
      </c>
    </row>
    <row r="34" spans="1:1" s="3" customFormat="1" x14ac:dyDescent="0.2">
      <c r="A34" s="4" t="str">
        <v/>
      </c>
    </row>
    <row r="35" spans="1:1" s="3" customFormat="1" x14ac:dyDescent="0.2">
      <c r="A35" s="4" t="str">
        <v/>
      </c>
    </row>
    <row r="36" spans="1:1" s="3" customFormat="1" x14ac:dyDescent="0.2">
      <c r="A36" s="4" t="str">
        <v/>
      </c>
    </row>
    <row r="37" spans="1:1" s="3" customFormat="1" x14ac:dyDescent="0.2">
      <c r="A37" s="4" t="str">
        <v/>
      </c>
    </row>
    <row r="38" spans="1:1" s="3" customFormat="1" x14ac:dyDescent="0.2">
      <c r="A38" s="4" t="str">
        <v/>
      </c>
    </row>
    <row r="39" spans="1:1" s="3" customFormat="1" x14ac:dyDescent="0.2">
      <c r="A39" s="4" t="str">
        <v/>
      </c>
    </row>
    <row r="40" spans="1:1" s="3" customFormat="1" x14ac:dyDescent="0.2">
      <c r="A40" s="4" t="str">
        <v/>
      </c>
    </row>
    <row r="41" spans="1:1" s="3" customFormat="1" x14ac:dyDescent="0.2">
      <c r="A41" s="4" t="str">
        <v/>
      </c>
    </row>
    <row r="42" spans="1:1" s="3" customFormat="1" x14ac:dyDescent="0.2">
      <c r="A42" s="4" t="str">
        <v/>
      </c>
    </row>
    <row r="43" spans="1:1" s="3" customFormat="1" x14ac:dyDescent="0.2">
      <c r="A43" s="4" t="str">
        <v/>
      </c>
    </row>
    <row r="44" spans="1:1" s="3" customFormat="1" x14ac:dyDescent="0.2">
      <c r="A44" s="4" t="str">
        <v/>
      </c>
    </row>
    <row r="45" spans="1:1" s="3" customFormat="1" x14ac:dyDescent="0.2">
      <c r="A45" s="4" t="str">
        <v/>
      </c>
    </row>
    <row r="46" spans="1:1" s="3" customFormat="1" x14ac:dyDescent="0.2">
      <c r="A46" s="4" t="str">
        <v/>
      </c>
    </row>
    <row r="47" spans="1:1" s="3" customFormat="1" x14ac:dyDescent="0.2">
      <c r="A47" s="4" t="str">
        <v/>
      </c>
    </row>
    <row r="48" spans="1:1" s="3" customFormat="1" x14ac:dyDescent="0.2">
      <c r="A48" s="4" t="str">
        <v/>
      </c>
    </row>
    <row r="49" spans="1:1" s="3" customFormat="1" x14ac:dyDescent="0.2">
      <c r="A49" s="4" t="str">
        <v/>
      </c>
    </row>
    <row r="50" spans="1:1" s="3" customFormat="1" x14ac:dyDescent="0.2">
      <c r="A50" s="4" t="str">
        <v/>
      </c>
    </row>
    <row r="51" spans="1:1" s="3" customFormat="1" x14ac:dyDescent="0.2">
      <c r="A51" s="4" t="str">
        <v/>
      </c>
    </row>
    <row r="52" spans="1:1" s="3" customFormat="1" x14ac:dyDescent="0.2">
      <c r="A52" s="4" t="str">
        <v/>
      </c>
    </row>
    <row r="53" spans="1:1" s="3" customFormat="1" x14ac:dyDescent="0.2">
      <c r="A53" s="4" t="str">
        <v/>
      </c>
    </row>
    <row r="54" spans="1:1" s="3" customFormat="1" x14ac:dyDescent="0.2">
      <c r="A54" s="4" t="str">
        <v/>
      </c>
    </row>
    <row r="55" spans="1:1" s="3" customFormat="1" x14ac:dyDescent="0.2">
      <c r="A55" s="4" t="str">
        <v/>
      </c>
    </row>
    <row r="56" spans="1:1" s="3" customFormat="1" x14ac:dyDescent="0.2">
      <c r="A56" s="4" t="str">
        <v/>
      </c>
    </row>
    <row r="57" spans="1:1" s="3" customFormat="1" x14ac:dyDescent="0.2">
      <c r="A57" s="4" t="str">
        <v/>
      </c>
    </row>
    <row r="58" spans="1:1" s="3" customFormat="1" x14ac:dyDescent="0.2">
      <c r="A58" s="4" t="str">
        <v/>
      </c>
    </row>
    <row r="59" spans="1:1" s="3" customFormat="1" x14ac:dyDescent="0.2">
      <c r="A59" s="4" t="str">
        <v/>
      </c>
    </row>
    <row r="60" spans="1:1" s="3" customFormat="1" x14ac:dyDescent="0.2">
      <c r="A60" s="4" t="str">
        <v/>
      </c>
    </row>
    <row r="61" spans="1:1" s="3" customFormat="1" x14ac:dyDescent="0.2">
      <c r="A61" s="4" t="str">
        <v/>
      </c>
    </row>
    <row r="62" spans="1:1" s="3" customFormat="1" x14ac:dyDescent="0.2">
      <c r="A62" s="4" t="str">
        <v/>
      </c>
    </row>
    <row r="63" spans="1:1" s="3" customFormat="1" x14ac:dyDescent="0.2">
      <c r="A63" s="4" t="str">
        <v/>
      </c>
    </row>
    <row r="64" spans="1:1" s="3" customFormat="1" x14ac:dyDescent="0.2">
      <c r="A64" s="4" t="str">
        <v/>
      </c>
    </row>
    <row r="65" spans="1:1" s="3" customFormat="1" x14ac:dyDescent="0.2">
      <c r="A65" s="4" t="str">
        <v/>
      </c>
    </row>
    <row r="66" spans="1:1" s="3" customFormat="1" x14ac:dyDescent="0.2">
      <c r="A66" s="4" t="str">
        <v/>
      </c>
    </row>
    <row r="67" spans="1:1" s="3" customFormat="1" x14ac:dyDescent="0.2">
      <c r="A67" s="4" t="str">
        <v/>
      </c>
    </row>
    <row r="68" spans="1:1" s="3" customFormat="1" x14ac:dyDescent="0.2">
      <c r="A68" s="4" t="str">
        <v/>
      </c>
    </row>
    <row r="69" spans="1:1" s="3" customFormat="1" x14ac:dyDescent="0.2">
      <c r="A69" s="4" t="str">
        <v/>
      </c>
    </row>
    <row r="70" spans="1:1" s="3" customFormat="1" x14ac:dyDescent="0.2">
      <c r="A70" s="4" t="str">
        <v/>
      </c>
    </row>
    <row r="71" spans="1:1" s="3" customFormat="1" x14ac:dyDescent="0.2">
      <c r="A71" s="4" t="str">
        <v/>
      </c>
    </row>
    <row r="72" spans="1:1" s="3" customFormat="1" x14ac:dyDescent="0.2">
      <c r="A72" s="4" t="str">
        <v/>
      </c>
    </row>
    <row r="73" spans="1:1" s="3" customFormat="1" x14ac:dyDescent="0.2">
      <c r="A73" s="4" t="str">
        <v/>
      </c>
    </row>
    <row r="74" spans="1:1" s="3" customFormat="1" x14ac:dyDescent="0.2">
      <c r="A74" s="4" t="str">
        <v/>
      </c>
    </row>
    <row r="75" spans="1:1" s="3" customFormat="1" x14ac:dyDescent="0.2">
      <c r="A75" s="4" t="str">
        <v/>
      </c>
    </row>
    <row r="76" spans="1:1" s="3" customFormat="1" x14ac:dyDescent="0.2">
      <c r="A76" s="4" t="str">
        <v/>
      </c>
    </row>
    <row r="77" spans="1:1" s="3" customFormat="1" x14ac:dyDescent="0.2">
      <c r="A77" s="4" t="str">
        <v/>
      </c>
    </row>
    <row r="78" spans="1:1" s="3" customFormat="1" x14ac:dyDescent="0.2">
      <c r="A78" s="4" t="str">
        <v/>
      </c>
    </row>
    <row r="79" spans="1:1" s="3" customFormat="1" x14ac:dyDescent="0.2">
      <c r="A79" s="4" t="str">
        <v/>
      </c>
    </row>
    <row r="80" spans="1:1" s="3" customFormat="1" x14ac:dyDescent="0.2">
      <c r="A80" s="4" t="str">
        <v/>
      </c>
    </row>
    <row r="81" spans="1:1" s="3" customFormat="1" x14ac:dyDescent="0.2">
      <c r="A81" s="4" t="str">
        <v/>
      </c>
    </row>
    <row r="82" spans="1:1" s="3" customFormat="1" x14ac:dyDescent="0.2">
      <c r="A82" s="4" t="str">
        <v/>
      </c>
    </row>
    <row r="83" spans="1:1" s="3" customFormat="1" x14ac:dyDescent="0.2">
      <c r="A83" s="4" t="str">
        <v/>
      </c>
    </row>
    <row r="84" spans="1:1" s="3" customFormat="1" x14ac:dyDescent="0.2">
      <c r="A84" s="4" t="str">
        <v/>
      </c>
    </row>
    <row r="85" spans="1:1" s="3" customFormat="1" x14ac:dyDescent="0.2">
      <c r="A85" s="4" t="str">
        <v/>
      </c>
    </row>
    <row r="86" spans="1:1" s="3" customFormat="1" x14ac:dyDescent="0.2">
      <c r="A86" s="4" t="str">
        <v/>
      </c>
    </row>
    <row r="87" spans="1:1" s="3" customFormat="1" x14ac:dyDescent="0.2">
      <c r="A87" s="4" t="str">
        <v/>
      </c>
    </row>
    <row r="88" spans="1:1" s="3" customFormat="1" x14ac:dyDescent="0.2">
      <c r="A88" s="4" t="str">
        <v/>
      </c>
    </row>
    <row r="89" spans="1:1" s="3" customFormat="1" x14ac:dyDescent="0.2">
      <c r="A89" s="4" t="str">
        <v/>
      </c>
    </row>
    <row r="90" spans="1:1" s="3" customFormat="1" x14ac:dyDescent="0.2">
      <c r="A90" s="4" t="str">
        <v/>
      </c>
    </row>
    <row r="91" spans="1:1" s="3" customFormat="1" x14ac:dyDescent="0.2">
      <c r="A91" s="4" t="str">
        <v/>
      </c>
    </row>
    <row r="92" spans="1:1" s="3" customFormat="1" x14ac:dyDescent="0.2">
      <c r="A92" s="4" t="str">
        <v/>
      </c>
    </row>
    <row r="93" spans="1:1" s="3" customFormat="1" x14ac:dyDescent="0.2">
      <c r="A93" s="4" t="str">
        <v/>
      </c>
    </row>
    <row r="94" spans="1:1" s="3" customFormat="1" x14ac:dyDescent="0.2">
      <c r="A94" s="4" t="str">
        <v/>
      </c>
    </row>
    <row r="95" spans="1:1" s="3" customFormat="1" x14ac:dyDescent="0.2">
      <c r="A95" s="4" t="str">
        <v/>
      </c>
    </row>
    <row r="96" spans="1:1" s="3" customFormat="1" x14ac:dyDescent="0.2">
      <c r="A96" s="4" t="str">
        <v/>
      </c>
    </row>
    <row r="97" spans="1:1" s="3" customFormat="1" x14ac:dyDescent="0.2">
      <c r="A97" s="4" t="str">
        <v/>
      </c>
    </row>
    <row r="98" spans="1:1" s="3" customFormat="1" x14ac:dyDescent="0.2">
      <c r="A98" s="4" t="str">
        <v/>
      </c>
    </row>
    <row r="99" spans="1:1" s="3" customFormat="1" x14ac:dyDescent="0.2">
      <c r="A99" s="4" t="str">
        <v/>
      </c>
    </row>
    <row r="100" spans="1:1" s="3" customFormat="1" x14ac:dyDescent="0.2">
      <c r="A100" s="4" t="str">
        <v/>
      </c>
    </row>
    <row r="101" spans="1:1" s="3" customFormat="1" x14ac:dyDescent="0.2"/>
    <row r="102" spans="1:1" s="3" customFormat="1" x14ac:dyDescent="0.2"/>
    <row r="103" spans="1:1" s="3" customFormat="1" x14ac:dyDescent="0.2"/>
    <row r="104" spans="1:1" s="3" customFormat="1" x14ac:dyDescent="0.2"/>
    <row r="105" spans="1:1" s="3" customFormat="1" x14ac:dyDescent="0.2"/>
    <row r="106" spans="1:1" s="3" customFormat="1" x14ac:dyDescent="0.2"/>
    <row r="107" spans="1:1" s="3" customFormat="1" x14ac:dyDescent="0.2"/>
    <row r="108" spans="1:1" s="3" customFormat="1" x14ac:dyDescent="0.2"/>
    <row r="109" spans="1:1" s="3" customFormat="1" x14ac:dyDescent="0.2"/>
    <row r="110" spans="1:1" s="3" customFormat="1" x14ac:dyDescent="0.2"/>
    <row r="111" spans="1:1" s="3" customFormat="1" x14ac:dyDescent="0.2"/>
    <row r="112" spans="1:1"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1">
    <cfRule type="notContainsErrors" dxfId="18" priority="1">
      <formula>NOT(ISERROR(A1))</formula>
    </cfRule>
  </conditionalFormatting>
  <conditionalFormatting sqref="A2:O3">
    <cfRule type="notContainsErrors" dxfId="17" priority="3">
      <formula>NOT(ISERROR(A2))</formula>
    </cfRule>
  </conditionalFormatting>
  <conditionalFormatting sqref="A4:O4">
    <cfRule type="notContainsErrors" dxfId="16" priority="2">
      <formula>NOT(ISERROR(A4))</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4"/>
  <sheetViews>
    <sheetView workbookViewId="0">
      <selection activeCell="B5" sqref="B5:D5"/>
    </sheetView>
  </sheetViews>
  <sheetFormatPr baseColWidth="10" defaultColWidth="8.83203125" defaultRowHeight="15" x14ac:dyDescent="0.2"/>
  <cols>
    <col min="1" max="1" width="47.6640625" style="1" customWidth="1"/>
    <col min="2" max="4" width="45.6640625" style="1" customWidth="1"/>
  </cols>
  <sheetData>
    <row r="1" spans="1:4" ht="16" x14ac:dyDescent="0.2">
      <c r="A1" s="1" t="s">
        <v>0</v>
      </c>
      <c r="B1" s="1" t="s">
        <v>465</v>
      </c>
      <c r="C1" s="1" t="s">
        <v>468</v>
      </c>
      <c r="D1" s="1" t="s">
        <v>470</v>
      </c>
    </row>
    <row r="2" spans="1:4" ht="16" x14ac:dyDescent="0.2">
      <c r="A2" s="1" t="s">
        <v>1</v>
      </c>
      <c r="B2" s="1" t="s">
        <v>466</v>
      </c>
      <c r="C2" s="1" t="s">
        <v>466</v>
      </c>
      <c r="D2" s="1" t="s">
        <v>466</v>
      </c>
    </row>
    <row r="3" spans="1:4" ht="16" x14ac:dyDescent="0.2">
      <c r="A3" s="1" t="s">
        <v>2</v>
      </c>
      <c r="B3" s="1" t="s">
        <v>467</v>
      </c>
      <c r="C3" s="1" t="s">
        <v>469</v>
      </c>
      <c r="D3" s="1" t="s">
        <v>471</v>
      </c>
    </row>
    <row r="4" spans="1:4" x14ac:dyDescent="0.2">
      <c r="A4" s="2" t="s">
        <v>18</v>
      </c>
    </row>
    <row r="5" spans="1:4" s="3" customFormat="1" ht="16" x14ac:dyDescent="0.2">
      <c r="A5" s="4" t="str">
        <f t="array" ref="A5:A100">IF(ISBLANK(C5:C100)*ISBLANK(D5:D100)*ISBLANK(E5:E100)*ISBLANK(F5:F100), "", IF(study!$A$5 &lt;&gt; "", study!$A$5, "" ))</f>
        <v>STUDY004</v>
      </c>
      <c r="B5" s="3" t="s">
        <v>467</v>
      </c>
      <c r="C5" s="3" t="s">
        <v>469</v>
      </c>
      <c r="D5" s="3" t="s">
        <v>471</v>
      </c>
    </row>
    <row r="6" spans="1:4" s="3" customFormat="1" x14ac:dyDescent="0.2">
      <c r="A6" s="4" t="str">
        <v/>
      </c>
    </row>
    <row r="7" spans="1:4" s="3" customFormat="1" x14ac:dyDescent="0.2">
      <c r="A7" s="4" t="str">
        <v/>
      </c>
    </row>
    <row r="8" spans="1:4" s="3" customFormat="1" x14ac:dyDescent="0.2">
      <c r="A8" s="4" t="str">
        <v/>
      </c>
    </row>
    <row r="9" spans="1:4" s="3" customFormat="1" x14ac:dyDescent="0.2">
      <c r="A9" s="4" t="str">
        <v/>
      </c>
    </row>
    <row r="10" spans="1:4" s="3" customFormat="1" x14ac:dyDescent="0.2">
      <c r="A10" s="4" t="str">
        <v/>
      </c>
    </row>
    <row r="11" spans="1:4" s="3" customFormat="1" x14ac:dyDescent="0.2">
      <c r="A11" s="4" t="str">
        <v/>
      </c>
    </row>
    <row r="12" spans="1:4" s="3" customFormat="1" x14ac:dyDescent="0.2">
      <c r="A12" s="4" t="str">
        <v/>
      </c>
    </row>
    <row r="13" spans="1:4" s="3" customFormat="1" x14ac:dyDescent="0.2">
      <c r="A13" s="4" t="str">
        <v/>
      </c>
    </row>
    <row r="14" spans="1:4" s="3" customFormat="1" x14ac:dyDescent="0.2">
      <c r="A14" s="4" t="str">
        <v/>
      </c>
    </row>
    <row r="15" spans="1:4" s="3" customFormat="1" x14ac:dyDescent="0.2">
      <c r="A15" s="4" t="str">
        <v/>
      </c>
    </row>
    <row r="16" spans="1:4" s="3" customFormat="1" x14ac:dyDescent="0.2">
      <c r="A16" s="4" t="str">
        <v/>
      </c>
    </row>
    <row r="17" spans="1:1" s="3" customFormat="1" x14ac:dyDescent="0.2">
      <c r="A17" s="4" t="str">
        <v/>
      </c>
    </row>
    <row r="18" spans="1:1" s="3" customFormat="1" x14ac:dyDescent="0.2">
      <c r="A18" s="4" t="str">
        <v/>
      </c>
    </row>
    <row r="19" spans="1:1" s="3" customFormat="1" x14ac:dyDescent="0.2">
      <c r="A19" s="4" t="str">
        <v/>
      </c>
    </row>
    <row r="20" spans="1:1" s="3" customFormat="1" x14ac:dyDescent="0.2">
      <c r="A20" s="4" t="str">
        <v/>
      </c>
    </row>
    <row r="21" spans="1:1" s="3" customFormat="1" x14ac:dyDescent="0.2">
      <c r="A21" s="4" t="str">
        <v/>
      </c>
    </row>
    <row r="22" spans="1:1" s="3" customFormat="1" x14ac:dyDescent="0.2">
      <c r="A22" s="4" t="str">
        <v/>
      </c>
    </row>
    <row r="23" spans="1:1" s="3" customFormat="1" x14ac:dyDescent="0.2">
      <c r="A23" s="4" t="str">
        <v/>
      </c>
    </row>
    <row r="24" spans="1:1" s="3" customFormat="1" x14ac:dyDescent="0.2">
      <c r="A24" s="4" t="str">
        <v/>
      </c>
    </row>
    <row r="25" spans="1:1" s="3" customFormat="1" x14ac:dyDescent="0.2">
      <c r="A25" s="4" t="str">
        <v/>
      </c>
    </row>
    <row r="26" spans="1:1" s="3" customFormat="1" x14ac:dyDescent="0.2">
      <c r="A26" s="4" t="str">
        <v/>
      </c>
    </row>
    <row r="27" spans="1:1" s="3" customFormat="1" x14ac:dyDescent="0.2">
      <c r="A27" s="4" t="str">
        <v/>
      </c>
    </row>
    <row r="28" spans="1:1" s="3" customFormat="1" x14ac:dyDescent="0.2">
      <c r="A28" s="4" t="str">
        <v/>
      </c>
    </row>
    <row r="29" spans="1:1" s="3" customFormat="1" x14ac:dyDescent="0.2">
      <c r="A29" s="4" t="str">
        <v/>
      </c>
    </row>
    <row r="30" spans="1:1" s="3" customFormat="1" x14ac:dyDescent="0.2">
      <c r="A30" s="4" t="str">
        <v/>
      </c>
    </row>
    <row r="31" spans="1:1" s="3" customFormat="1" x14ac:dyDescent="0.2">
      <c r="A31" s="4" t="str">
        <v/>
      </c>
    </row>
    <row r="32" spans="1:1" s="3" customFormat="1" x14ac:dyDescent="0.2">
      <c r="A32" s="4" t="str">
        <v/>
      </c>
    </row>
    <row r="33" spans="1:1" s="3" customFormat="1" x14ac:dyDescent="0.2">
      <c r="A33" s="4" t="str">
        <v/>
      </c>
    </row>
    <row r="34" spans="1:1" s="3" customFormat="1" x14ac:dyDescent="0.2">
      <c r="A34" s="4" t="str">
        <v/>
      </c>
    </row>
    <row r="35" spans="1:1" s="3" customFormat="1" x14ac:dyDescent="0.2">
      <c r="A35" s="4" t="str">
        <v/>
      </c>
    </row>
    <row r="36" spans="1:1" s="3" customFormat="1" x14ac:dyDescent="0.2">
      <c r="A36" s="4" t="str">
        <v/>
      </c>
    </row>
    <row r="37" spans="1:1" s="3" customFormat="1" x14ac:dyDescent="0.2">
      <c r="A37" s="4" t="str">
        <v/>
      </c>
    </row>
    <row r="38" spans="1:1" s="3" customFormat="1" x14ac:dyDescent="0.2">
      <c r="A38" s="4" t="str">
        <v/>
      </c>
    </row>
    <row r="39" spans="1:1" s="3" customFormat="1" x14ac:dyDescent="0.2">
      <c r="A39" s="4" t="str">
        <v/>
      </c>
    </row>
    <row r="40" spans="1:1" s="3" customFormat="1" x14ac:dyDescent="0.2">
      <c r="A40" s="4" t="str">
        <v/>
      </c>
    </row>
    <row r="41" spans="1:1" s="3" customFormat="1" x14ac:dyDescent="0.2">
      <c r="A41" s="4" t="str">
        <v/>
      </c>
    </row>
    <row r="42" spans="1:1" s="3" customFormat="1" x14ac:dyDescent="0.2">
      <c r="A42" s="4" t="str">
        <v/>
      </c>
    </row>
    <row r="43" spans="1:1" s="3" customFormat="1" x14ac:dyDescent="0.2">
      <c r="A43" s="4" t="str">
        <v/>
      </c>
    </row>
    <row r="44" spans="1:1" s="3" customFormat="1" x14ac:dyDescent="0.2">
      <c r="A44" s="4" t="str">
        <v/>
      </c>
    </row>
    <row r="45" spans="1:1" s="3" customFormat="1" x14ac:dyDescent="0.2">
      <c r="A45" s="4" t="str">
        <v/>
      </c>
    </row>
    <row r="46" spans="1:1" s="3" customFormat="1" x14ac:dyDescent="0.2">
      <c r="A46" s="4" t="str">
        <v/>
      </c>
    </row>
    <row r="47" spans="1:1" s="3" customFormat="1" x14ac:dyDescent="0.2">
      <c r="A47" s="4" t="str">
        <v/>
      </c>
    </row>
    <row r="48" spans="1:1" s="3" customFormat="1" x14ac:dyDescent="0.2">
      <c r="A48" s="4" t="str">
        <v/>
      </c>
    </row>
    <row r="49" spans="1:1" s="3" customFormat="1" x14ac:dyDescent="0.2">
      <c r="A49" s="4" t="str">
        <v/>
      </c>
    </row>
    <row r="50" spans="1:1" s="3" customFormat="1" x14ac:dyDescent="0.2">
      <c r="A50" s="4" t="str">
        <v/>
      </c>
    </row>
    <row r="51" spans="1:1" s="3" customFormat="1" x14ac:dyDescent="0.2">
      <c r="A51" s="4" t="str">
        <v/>
      </c>
    </row>
    <row r="52" spans="1:1" s="3" customFormat="1" x14ac:dyDescent="0.2">
      <c r="A52" s="4" t="str">
        <v/>
      </c>
    </row>
    <row r="53" spans="1:1" s="3" customFormat="1" x14ac:dyDescent="0.2">
      <c r="A53" s="4" t="str">
        <v/>
      </c>
    </row>
    <row r="54" spans="1:1" s="3" customFormat="1" x14ac:dyDescent="0.2">
      <c r="A54" s="4" t="str">
        <v/>
      </c>
    </row>
    <row r="55" spans="1:1" s="3" customFormat="1" x14ac:dyDescent="0.2">
      <c r="A55" s="4" t="str">
        <v/>
      </c>
    </row>
    <row r="56" spans="1:1" s="3" customFormat="1" x14ac:dyDescent="0.2">
      <c r="A56" s="4" t="str">
        <v/>
      </c>
    </row>
    <row r="57" spans="1:1" s="3" customFormat="1" x14ac:dyDescent="0.2">
      <c r="A57" s="4" t="str">
        <v/>
      </c>
    </row>
    <row r="58" spans="1:1" s="3" customFormat="1" x14ac:dyDescent="0.2">
      <c r="A58" s="4" t="str">
        <v/>
      </c>
    </row>
    <row r="59" spans="1:1" s="3" customFormat="1" x14ac:dyDescent="0.2">
      <c r="A59" s="4" t="str">
        <v/>
      </c>
    </row>
    <row r="60" spans="1:1" s="3" customFormat="1" x14ac:dyDescent="0.2">
      <c r="A60" s="4" t="str">
        <v/>
      </c>
    </row>
    <row r="61" spans="1:1" s="3" customFormat="1" x14ac:dyDescent="0.2">
      <c r="A61" s="4" t="str">
        <v/>
      </c>
    </row>
    <row r="62" spans="1:1" s="3" customFormat="1" x14ac:dyDescent="0.2">
      <c r="A62" s="4" t="str">
        <v/>
      </c>
    </row>
    <row r="63" spans="1:1" s="3" customFormat="1" x14ac:dyDescent="0.2">
      <c r="A63" s="4" t="str">
        <v/>
      </c>
    </row>
    <row r="64" spans="1:1" s="3" customFormat="1" x14ac:dyDescent="0.2">
      <c r="A64" s="4" t="str">
        <v/>
      </c>
    </row>
    <row r="65" spans="1:1" s="3" customFormat="1" x14ac:dyDescent="0.2">
      <c r="A65" s="4" t="str">
        <v/>
      </c>
    </row>
    <row r="66" spans="1:1" s="3" customFormat="1" x14ac:dyDescent="0.2">
      <c r="A66" s="4" t="str">
        <v/>
      </c>
    </row>
    <row r="67" spans="1:1" s="3" customFormat="1" x14ac:dyDescent="0.2">
      <c r="A67" s="4" t="str">
        <v/>
      </c>
    </row>
    <row r="68" spans="1:1" s="3" customFormat="1" x14ac:dyDescent="0.2">
      <c r="A68" s="4" t="str">
        <v/>
      </c>
    </row>
    <row r="69" spans="1:1" s="3" customFormat="1" x14ac:dyDescent="0.2">
      <c r="A69" s="4" t="str">
        <v/>
      </c>
    </row>
    <row r="70" spans="1:1" s="3" customFormat="1" x14ac:dyDescent="0.2">
      <c r="A70" s="4" t="str">
        <v/>
      </c>
    </row>
    <row r="71" spans="1:1" s="3" customFormat="1" x14ac:dyDescent="0.2">
      <c r="A71" s="4" t="str">
        <v/>
      </c>
    </row>
    <row r="72" spans="1:1" s="3" customFormat="1" x14ac:dyDescent="0.2">
      <c r="A72" s="4" t="str">
        <v/>
      </c>
    </row>
    <row r="73" spans="1:1" s="3" customFormat="1" x14ac:dyDescent="0.2">
      <c r="A73" s="4" t="str">
        <v/>
      </c>
    </row>
    <row r="74" spans="1:1" s="3" customFormat="1" x14ac:dyDescent="0.2">
      <c r="A74" s="4" t="str">
        <v/>
      </c>
    </row>
    <row r="75" spans="1:1" s="3" customFormat="1" x14ac:dyDescent="0.2">
      <c r="A75" s="4" t="str">
        <v/>
      </c>
    </row>
    <row r="76" spans="1:1" s="3" customFormat="1" x14ac:dyDescent="0.2">
      <c r="A76" s="4" t="str">
        <v/>
      </c>
    </row>
    <row r="77" spans="1:1" s="3" customFormat="1" x14ac:dyDescent="0.2">
      <c r="A77" s="4" t="str">
        <v/>
      </c>
    </row>
    <row r="78" spans="1:1" s="3" customFormat="1" x14ac:dyDescent="0.2">
      <c r="A78" s="4" t="str">
        <v/>
      </c>
    </row>
    <row r="79" spans="1:1" s="3" customFormat="1" x14ac:dyDescent="0.2">
      <c r="A79" s="4" t="str">
        <v/>
      </c>
    </row>
    <row r="80" spans="1:1" s="3" customFormat="1" x14ac:dyDescent="0.2">
      <c r="A80" s="4" t="str">
        <v/>
      </c>
    </row>
    <row r="81" spans="1:1" s="3" customFormat="1" x14ac:dyDescent="0.2">
      <c r="A81" s="4" t="str">
        <v/>
      </c>
    </row>
    <row r="82" spans="1:1" s="3" customFormat="1" x14ac:dyDescent="0.2">
      <c r="A82" s="4" t="str">
        <v/>
      </c>
    </row>
    <row r="83" spans="1:1" s="3" customFormat="1" x14ac:dyDescent="0.2">
      <c r="A83" s="4" t="str">
        <v/>
      </c>
    </row>
    <row r="84" spans="1:1" s="3" customFormat="1" x14ac:dyDescent="0.2">
      <c r="A84" s="4" t="str">
        <v/>
      </c>
    </row>
    <row r="85" spans="1:1" s="3" customFormat="1" x14ac:dyDescent="0.2">
      <c r="A85" s="4" t="str">
        <v/>
      </c>
    </row>
    <row r="86" spans="1:1" s="3" customFormat="1" x14ac:dyDescent="0.2">
      <c r="A86" s="4" t="str">
        <v/>
      </c>
    </row>
    <row r="87" spans="1:1" s="3" customFormat="1" x14ac:dyDescent="0.2">
      <c r="A87" s="4" t="str">
        <v/>
      </c>
    </row>
    <row r="88" spans="1:1" s="3" customFormat="1" x14ac:dyDescent="0.2">
      <c r="A88" s="4" t="str">
        <v/>
      </c>
    </row>
    <row r="89" spans="1:1" s="3" customFormat="1" x14ac:dyDescent="0.2">
      <c r="A89" s="4" t="str">
        <v/>
      </c>
    </row>
    <row r="90" spans="1:1" s="3" customFormat="1" x14ac:dyDescent="0.2">
      <c r="A90" s="4" t="str">
        <v/>
      </c>
    </row>
    <row r="91" spans="1:1" s="3" customFormat="1" x14ac:dyDescent="0.2">
      <c r="A91" s="4" t="str">
        <v/>
      </c>
    </row>
    <row r="92" spans="1:1" s="3" customFormat="1" x14ac:dyDescent="0.2">
      <c r="A92" s="4" t="str">
        <v/>
      </c>
    </row>
    <row r="93" spans="1:1" s="3" customFormat="1" x14ac:dyDescent="0.2">
      <c r="A93" s="4" t="str">
        <v/>
      </c>
    </row>
    <row r="94" spans="1:1" s="3" customFormat="1" x14ac:dyDescent="0.2">
      <c r="A94" s="4" t="str">
        <v/>
      </c>
    </row>
    <row r="95" spans="1:1" s="3" customFormat="1" x14ac:dyDescent="0.2">
      <c r="A95" s="4" t="str">
        <v/>
      </c>
    </row>
    <row r="96" spans="1:1" s="3" customFormat="1" x14ac:dyDescent="0.2">
      <c r="A96" s="4" t="str">
        <v/>
      </c>
    </row>
    <row r="97" spans="1:1" s="3" customFormat="1" x14ac:dyDescent="0.2">
      <c r="A97" s="4" t="str">
        <v/>
      </c>
    </row>
    <row r="98" spans="1:1" s="3" customFormat="1" x14ac:dyDescent="0.2">
      <c r="A98" s="4" t="str">
        <v/>
      </c>
    </row>
    <row r="99" spans="1:1" s="3" customFormat="1" x14ac:dyDescent="0.2">
      <c r="A99" s="4" t="str">
        <v/>
      </c>
    </row>
    <row r="100" spans="1:1" s="3" customFormat="1" x14ac:dyDescent="0.2">
      <c r="A100" s="4" t="str">
        <v/>
      </c>
    </row>
    <row r="101" spans="1:1" s="3" customFormat="1" x14ac:dyDescent="0.2"/>
    <row r="102" spans="1:1" s="3" customFormat="1" x14ac:dyDescent="0.2"/>
    <row r="103" spans="1:1" s="3" customFormat="1" x14ac:dyDescent="0.2"/>
    <row r="104" spans="1:1" s="3" customFormat="1" x14ac:dyDescent="0.2"/>
    <row r="105" spans="1:1" s="3" customFormat="1" x14ac:dyDescent="0.2"/>
    <row r="106" spans="1:1" s="3" customFormat="1" x14ac:dyDescent="0.2"/>
    <row r="107" spans="1:1" s="3" customFormat="1" x14ac:dyDescent="0.2"/>
    <row r="108" spans="1:1" s="3" customFormat="1" x14ac:dyDescent="0.2"/>
    <row r="109" spans="1:1" s="3" customFormat="1" x14ac:dyDescent="0.2"/>
    <row r="110" spans="1:1" s="3" customFormat="1" x14ac:dyDescent="0.2"/>
    <row r="111" spans="1:1" s="3" customFormat="1" x14ac:dyDescent="0.2"/>
    <row r="112" spans="1:1"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1">
    <cfRule type="notContainsErrors" dxfId="15" priority="1">
      <formula>NOT(ISERROR(A1))</formula>
    </cfRule>
  </conditionalFormatting>
  <conditionalFormatting sqref="A2:D3">
    <cfRule type="notContainsErrors" dxfId="14" priority="3">
      <formula>NOT(ISERROR(A2))</formula>
    </cfRule>
  </conditionalFormatting>
  <conditionalFormatting sqref="A4:D4">
    <cfRule type="notContainsErrors" dxfId="13" priority="2">
      <formula>NOT(ISERROR(A4))</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04"/>
  <sheetViews>
    <sheetView workbookViewId="0">
      <selection activeCell="A5" sqref="A5:H5"/>
    </sheetView>
  </sheetViews>
  <sheetFormatPr baseColWidth="10" defaultColWidth="8.83203125" defaultRowHeight="15" x14ac:dyDescent="0.2"/>
  <cols>
    <col min="1" max="1" width="70.6640625" style="1" customWidth="1"/>
    <col min="2" max="2" width="62.6640625" style="1" customWidth="1"/>
    <col min="3" max="8" width="70.6640625" style="1" customWidth="1"/>
  </cols>
  <sheetData>
    <row r="1" spans="1:8" ht="16" x14ac:dyDescent="0.2">
      <c r="A1" s="1" t="s">
        <v>472</v>
      </c>
      <c r="B1" s="1" t="s">
        <v>475</v>
      </c>
      <c r="C1" s="1" t="s">
        <v>478</v>
      </c>
      <c r="D1" s="1" t="s">
        <v>481</v>
      </c>
      <c r="E1" s="1" t="s">
        <v>484</v>
      </c>
      <c r="F1" s="1" t="s">
        <v>487</v>
      </c>
      <c r="G1" s="1" t="s">
        <v>490</v>
      </c>
      <c r="H1" s="1" t="s">
        <v>493</v>
      </c>
    </row>
    <row r="2" spans="1:8" ht="32" x14ac:dyDescent="0.2">
      <c r="A2" s="1" t="s">
        <v>473</v>
      </c>
      <c r="B2" s="1" t="s">
        <v>476</v>
      </c>
      <c r="C2" s="1" t="s">
        <v>479</v>
      </c>
      <c r="D2" s="1" t="s">
        <v>482</v>
      </c>
      <c r="E2" s="1" t="s">
        <v>485</v>
      </c>
      <c r="F2" s="1" t="s">
        <v>488</v>
      </c>
      <c r="G2" s="1" t="s">
        <v>491</v>
      </c>
      <c r="H2" s="1" t="s">
        <v>494</v>
      </c>
    </row>
    <row r="3" spans="1:8" ht="64" x14ac:dyDescent="0.2">
      <c r="A3" s="1" t="s">
        <v>474</v>
      </c>
      <c r="B3" s="1" t="s">
        <v>477</v>
      </c>
      <c r="C3" s="1" t="s">
        <v>480</v>
      </c>
      <c r="D3" s="1" t="s">
        <v>483</v>
      </c>
      <c r="E3" s="1" t="s">
        <v>486</v>
      </c>
      <c r="F3" s="1" t="s">
        <v>489</v>
      </c>
      <c r="G3" s="1" t="s">
        <v>492</v>
      </c>
      <c r="H3" s="1" t="s">
        <v>495</v>
      </c>
    </row>
    <row r="4" spans="1:8" x14ac:dyDescent="0.2">
      <c r="A4" s="2" t="s">
        <v>18</v>
      </c>
    </row>
    <row r="5" spans="1:8" s="3" customFormat="1" ht="64" x14ac:dyDescent="0.2">
      <c r="A5" s="3" t="s">
        <v>474</v>
      </c>
      <c r="B5" s="3" t="s">
        <v>477</v>
      </c>
      <c r="C5" s="3" t="s">
        <v>480</v>
      </c>
      <c r="D5" s="3" t="s">
        <v>483</v>
      </c>
      <c r="E5" s="3" t="s">
        <v>486</v>
      </c>
      <c r="F5" s="3" t="s">
        <v>489</v>
      </c>
      <c r="G5" s="3" t="s">
        <v>492</v>
      </c>
      <c r="H5" s="3" t="s">
        <v>495</v>
      </c>
    </row>
    <row r="6" spans="1:8" s="3" customFormat="1" x14ac:dyDescent="0.2"/>
    <row r="7" spans="1:8" s="3" customFormat="1" x14ac:dyDescent="0.2"/>
    <row r="8" spans="1:8" s="3" customFormat="1" x14ac:dyDescent="0.2"/>
    <row r="9" spans="1:8" s="3" customFormat="1" x14ac:dyDescent="0.2"/>
    <row r="10" spans="1:8" s="3" customFormat="1" x14ac:dyDescent="0.2"/>
    <row r="11" spans="1:8" s="3" customFormat="1" x14ac:dyDescent="0.2"/>
    <row r="12" spans="1:8" s="3" customFormat="1" x14ac:dyDescent="0.2"/>
    <row r="13" spans="1:8" s="3" customFormat="1" x14ac:dyDescent="0.2"/>
    <row r="14" spans="1:8" s="3" customFormat="1" x14ac:dyDescent="0.2"/>
    <row r="15" spans="1:8" s="3" customFormat="1" x14ac:dyDescent="0.2"/>
    <row r="16" spans="1:8" s="3" customFormat="1" x14ac:dyDescent="0.2"/>
    <row r="17" s="3" customFormat="1" x14ac:dyDescent="0.2"/>
    <row r="18" s="3" customFormat="1" x14ac:dyDescent="0.2"/>
    <row r="19" s="3" customFormat="1" x14ac:dyDescent="0.2"/>
    <row r="20" s="3" customFormat="1" x14ac:dyDescent="0.2"/>
    <row r="21" s="3" customFormat="1" x14ac:dyDescent="0.2"/>
    <row r="22" s="3" customFormat="1" x14ac:dyDescent="0.2"/>
    <row r="23" s="3" customFormat="1" x14ac:dyDescent="0.2"/>
    <row r="24" s="3" customFormat="1" x14ac:dyDescent="0.2"/>
    <row r="25" s="3" customFormat="1" x14ac:dyDescent="0.2"/>
    <row r="26" s="3" customFormat="1" x14ac:dyDescent="0.2"/>
    <row r="27" s="3" customFormat="1" x14ac:dyDescent="0.2"/>
    <row r="28" s="3" customFormat="1" x14ac:dyDescent="0.2"/>
    <row r="29" s="3" customFormat="1" x14ac:dyDescent="0.2"/>
    <row r="30" s="3" customFormat="1" x14ac:dyDescent="0.2"/>
    <row r="31" s="3" customFormat="1" x14ac:dyDescent="0.2"/>
    <row r="32" s="3" customFormat="1" x14ac:dyDescent="0.2"/>
    <row r="33" s="3" customFormat="1" x14ac:dyDescent="0.2"/>
    <row r="34" s="3" customFormat="1" x14ac:dyDescent="0.2"/>
    <row r="35" s="3" customFormat="1" x14ac:dyDescent="0.2"/>
    <row r="36" s="3" customFormat="1" x14ac:dyDescent="0.2"/>
    <row r="37" s="3" customFormat="1" x14ac:dyDescent="0.2"/>
    <row r="38" s="3" customFormat="1" x14ac:dyDescent="0.2"/>
    <row r="39" s="3" customFormat="1" x14ac:dyDescent="0.2"/>
    <row r="40" s="3" customFormat="1" x14ac:dyDescent="0.2"/>
    <row r="41" s="3" customFormat="1" x14ac:dyDescent="0.2"/>
    <row r="42" s="3" customFormat="1" x14ac:dyDescent="0.2"/>
    <row r="43" s="3" customFormat="1" x14ac:dyDescent="0.2"/>
    <row r="44" s="3" customFormat="1" x14ac:dyDescent="0.2"/>
    <row r="45" s="3" customFormat="1" x14ac:dyDescent="0.2"/>
    <row r="46" s="3" customFormat="1" x14ac:dyDescent="0.2"/>
    <row r="47" s="3" customFormat="1" x14ac:dyDescent="0.2"/>
    <row r="48" s="3" customFormat="1" x14ac:dyDescent="0.2"/>
    <row r="49" s="3" customFormat="1" x14ac:dyDescent="0.2"/>
    <row r="50" s="3" customFormat="1" x14ac:dyDescent="0.2"/>
    <row r="51" s="3" customFormat="1" x14ac:dyDescent="0.2"/>
    <row r="52" s="3" customFormat="1" x14ac:dyDescent="0.2"/>
    <row r="53" s="3" customFormat="1" x14ac:dyDescent="0.2"/>
    <row r="54" s="3" customFormat="1" x14ac:dyDescent="0.2"/>
    <row r="55" s="3" customFormat="1" x14ac:dyDescent="0.2"/>
    <row r="56" s="3" customFormat="1" x14ac:dyDescent="0.2"/>
    <row r="57" s="3" customFormat="1" x14ac:dyDescent="0.2"/>
    <row r="58" s="3" customFormat="1" x14ac:dyDescent="0.2"/>
    <row r="59" s="3" customFormat="1" x14ac:dyDescent="0.2"/>
    <row r="60" s="3" customFormat="1" x14ac:dyDescent="0.2"/>
    <row r="61" s="3" customFormat="1" x14ac:dyDescent="0.2"/>
    <row r="62" s="3" customFormat="1" x14ac:dyDescent="0.2"/>
    <row r="63" s="3" customFormat="1" x14ac:dyDescent="0.2"/>
    <row r="64" s="3" customFormat="1" x14ac:dyDescent="0.2"/>
    <row r="65" s="3" customFormat="1" x14ac:dyDescent="0.2"/>
    <row r="66" s="3" customFormat="1" x14ac:dyDescent="0.2"/>
    <row r="67" s="3" customFormat="1" x14ac:dyDescent="0.2"/>
    <row r="68" s="3" customFormat="1" x14ac:dyDescent="0.2"/>
    <row r="69" s="3" customFormat="1" x14ac:dyDescent="0.2"/>
    <row r="70" s="3" customFormat="1" x14ac:dyDescent="0.2"/>
    <row r="71" s="3" customFormat="1" x14ac:dyDescent="0.2"/>
    <row r="72" s="3" customFormat="1" x14ac:dyDescent="0.2"/>
    <row r="73" s="3" customFormat="1" x14ac:dyDescent="0.2"/>
    <row r="74" s="3" customFormat="1" x14ac:dyDescent="0.2"/>
    <row r="75" s="3" customFormat="1" x14ac:dyDescent="0.2"/>
    <row r="76" s="3" customFormat="1" x14ac:dyDescent="0.2"/>
    <row r="77" s="3" customFormat="1" x14ac:dyDescent="0.2"/>
    <row r="78" s="3" customFormat="1" x14ac:dyDescent="0.2"/>
    <row r="79" s="3" customFormat="1" x14ac:dyDescent="0.2"/>
    <row r="80" s="3" customFormat="1" x14ac:dyDescent="0.2"/>
    <row r="81" s="3" customFormat="1" x14ac:dyDescent="0.2"/>
    <row r="82" s="3" customFormat="1" x14ac:dyDescent="0.2"/>
    <row r="83" s="3" customFormat="1" x14ac:dyDescent="0.2"/>
    <row r="84" s="3" customFormat="1" x14ac:dyDescent="0.2"/>
    <row r="85" s="3" customFormat="1" x14ac:dyDescent="0.2"/>
    <row r="86" s="3" customFormat="1" x14ac:dyDescent="0.2"/>
    <row r="87" s="3" customFormat="1" x14ac:dyDescent="0.2"/>
    <row r="88" s="3" customFormat="1" x14ac:dyDescent="0.2"/>
    <row r="89" s="3" customFormat="1" x14ac:dyDescent="0.2"/>
    <row r="90" s="3" customFormat="1" x14ac:dyDescent="0.2"/>
    <row r="91" s="3" customFormat="1" x14ac:dyDescent="0.2"/>
    <row r="92" s="3" customFormat="1" x14ac:dyDescent="0.2"/>
    <row r="93" s="3" customFormat="1" x14ac:dyDescent="0.2"/>
    <row r="94" s="3" customFormat="1" x14ac:dyDescent="0.2"/>
    <row r="95" s="3" customFormat="1" x14ac:dyDescent="0.2"/>
    <row r="96" s="3" customFormat="1" x14ac:dyDescent="0.2"/>
    <row r="97" s="3" customFormat="1" x14ac:dyDescent="0.2"/>
    <row r="98" s="3" customFormat="1" x14ac:dyDescent="0.2"/>
    <row r="99" s="3" customFormat="1" x14ac:dyDescent="0.2"/>
    <row r="100" s="3" customFormat="1" x14ac:dyDescent="0.2"/>
    <row r="101" s="3" customFormat="1" x14ac:dyDescent="0.2"/>
    <row r="102" s="3" customFormat="1" x14ac:dyDescent="0.2"/>
    <row r="103" s="3" customFormat="1" x14ac:dyDescent="0.2"/>
    <row r="104" s="3" customFormat="1" x14ac:dyDescent="0.2"/>
    <row r="105" s="3" customFormat="1" x14ac:dyDescent="0.2"/>
    <row r="106" s="3" customFormat="1" x14ac:dyDescent="0.2"/>
    <row r="107" s="3" customFormat="1" x14ac:dyDescent="0.2"/>
    <row r="108" s="3" customFormat="1" x14ac:dyDescent="0.2"/>
    <row r="109" s="3" customFormat="1" x14ac:dyDescent="0.2"/>
    <row r="110" s="3" customFormat="1" x14ac:dyDescent="0.2"/>
    <row r="111" s="3" customFormat="1" x14ac:dyDescent="0.2"/>
    <row r="112"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2:H3">
    <cfRule type="notContainsErrors" dxfId="12" priority="2">
      <formula>NOT(ISERROR(A2))</formula>
    </cfRule>
  </conditionalFormatting>
  <conditionalFormatting sqref="A4:H4">
    <cfRule type="notContainsErrors" dxfId="11" priority="1">
      <formula>NOT(ISERROR(A4))</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004"/>
  <sheetViews>
    <sheetView tabSelected="1" topLeftCell="G1" workbookViewId="0">
      <selection activeCell="J6" sqref="J6"/>
    </sheetView>
  </sheetViews>
  <sheetFormatPr baseColWidth="10" defaultColWidth="8.83203125" defaultRowHeight="15" x14ac:dyDescent="0.2"/>
  <cols>
    <col min="1" max="2" width="47.6640625" style="1" customWidth="1"/>
    <col min="3" max="4" width="70.6640625" style="1" customWidth="1"/>
    <col min="5" max="6" width="55.6640625" style="1" customWidth="1"/>
    <col min="7" max="8" width="43.6640625" style="1" customWidth="1"/>
    <col min="9" max="10" width="70.6640625" style="1" customWidth="1"/>
    <col min="11" max="11" width="57.6640625" style="1" customWidth="1"/>
  </cols>
  <sheetData>
    <row r="1" spans="1:11" ht="16" x14ac:dyDescent="0.2">
      <c r="A1" s="1" t="s">
        <v>0</v>
      </c>
      <c r="B1" s="1" t="s">
        <v>496</v>
      </c>
      <c r="C1" s="1" t="s">
        <v>126</v>
      </c>
      <c r="D1" s="1" t="s">
        <v>277</v>
      </c>
      <c r="E1" s="1" t="s">
        <v>498</v>
      </c>
      <c r="F1" s="1" t="s">
        <v>501</v>
      </c>
      <c r="G1" s="1" t="s">
        <v>504</v>
      </c>
      <c r="H1" s="1" t="s">
        <v>507</v>
      </c>
      <c r="I1" s="1" t="s">
        <v>510</v>
      </c>
      <c r="J1" s="1" t="s">
        <v>513</v>
      </c>
      <c r="K1" s="1" t="s">
        <v>516</v>
      </c>
    </row>
    <row r="2" spans="1:11" ht="48" x14ac:dyDescent="0.2">
      <c r="A2" s="1" t="s">
        <v>1</v>
      </c>
      <c r="B2" s="1" t="s">
        <v>497</v>
      </c>
      <c r="C2" s="1" t="s">
        <v>127</v>
      </c>
      <c r="D2" s="1" t="s">
        <v>278</v>
      </c>
      <c r="E2" s="1" t="s">
        <v>499</v>
      </c>
      <c r="F2" s="1" t="s">
        <v>502</v>
      </c>
      <c r="G2" s="1" t="s">
        <v>505</v>
      </c>
      <c r="H2" s="1" t="s">
        <v>508</v>
      </c>
      <c r="I2" s="1" t="s">
        <v>511</v>
      </c>
      <c r="J2" s="1" t="s">
        <v>514</v>
      </c>
      <c r="K2" s="1" t="s">
        <v>517</v>
      </c>
    </row>
    <row r="3" spans="1:11" ht="16" x14ac:dyDescent="0.2">
      <c r="A3" s="1" t="s">
        <v>2</v>
      </c>
      <c r="B3" s="1" t="s">
        <v>2</v>
      </c>
      <c r="C3" s="1" t="s">
        <v>128</v>
      </c>
      <c r="D3" s="1" t="s">
        <v>279</v>
      </c>
      <c r="E3" s="1" t="s">
        <v>500</v>
      </c>
      <c r="F3" s="1" t="s">
        <v>503</v>
      </c>
      <c r="G3" s="1" t="s">
        <v>506</v>
      </c>
      <c r="H3" s="1" t="s">
        <v>509</v>
      </c>
      <c r="I3" s="1" t="s">
        <v>512</v>
      </c>
      <c r="J3" s="1" t="s">
        <v>515</v>
      </c>
      <c r="K3" s="1" t="s">
        <v>518</v>
      </c>
    </row>
    <row r="4" spans="1:11" x14ac:dyDescent="0.2">
      <c r="A4" s="2" t="s">
        <v>18</v>
      </c>
    </row>
    <row r="5" spans="1:11" s="3" customFormat="1" ht="16" x14ac:dyDescent="0.2">
      <c r="A5" s="4" t="str">
        <f t="array" ref="A5:A100">IF(ISBLANK(C5:C100)*ISBLANK(D5:D100)*ISBLANK(E5:E100)*ISBLANK(F5:F100), "", IF(study!$A$5 &lt;&gt; "", study!$A$5, "" ))</f>
        <v>STUDY004</v>
      </c>
      <c r="B5" s="4" t="str">
        <f t="array" ref="B5:B100">IF(ISBLANK(C5:C100)*ISBLANK(D5:D100)*ISBLANK(E5:E100)*ISBLANK(F5:F100), "", CONCATENATE("FILE", TEXT(ROW()-4,"000")))</f>
        <v>FILE001</v>
      </c>
      <c r="C5" s="3" t="s">
        <v>128</v>
      </c>
      <c r="D5" s="3" t="s">
        <v>279</v>
      </c>
      <c r="E5" s="3" t="s">
        <v>586</v>
      </c>
      <c r="F5" s="3" t="s">
        <v>589</v>
      </c>
      <c r="G5" s="3" t="s">
        <v>587</v>
      </c>
      <c r="H5" s="3" t="s">
        <v>588</v>
      </c>
      <c r="I5" s="3" t="s">
        <v>600</v>
      </c>
      <c r="J5" s="3" t="s">
        <v>600</v>
      </c>
      <c r="K5" s="3" t="s">
        <v>590</v>
      </c>
    </row>
    <row r="6" spans="1:11" s="3" customFormat="1" x14ac:dyDescent="0.2">
      <c r="A6" s="4" t="str">
        <v/>
      </c>
      <c r="B6" s="4" t="str">
        <v/>
      </c>
    </row>
    <row r="7" spans="1:11" s="3" customFormat="1" x14ac:dyDescent="0.2">
      <c r="A7" s="4" t="str">
        <v/>
      </c>
      <c r="B7" s="4" t="str">
        <v/>
      </c>
    </row>
    <row r="8" spans="1:11" s="3" customFormat="1" x14ac:dyDescent="0.2">
      <c r="A8" s="4" t="str">
        <v/>
      </c>
      <c r="B8" s="4" t="str">
        <v/>
      </c>
    </row>
    <row r="9" spans="1:11" s="3" customFormat="1" x14ac:dyDescent="0.2">
      <c r="A9" s="4" t="str">
        <v/>
      </c>
      <c r="B9" s="4" t="str">
        <v/>
      </c>
    </row>
    <row r="10" spans="1:11" s="3" customFormat="1" x14ac:dyDescent="0.2">
      <c r="A10" s="4" t="str">
        <v/>
      </c>
      <c r="B10" s="4" t="str">
        <v/>
      </c>
    </row>
    <row r="11" spans="1:11" s="3" customFormat="1" x14ac:dyDescent="0.2">
      <c r="A11" s="4" t="str">
        <v/>
      </c>
      <c r="B11" s="4" t="str">
        <v/>
      </c>
    </row>
    <row r="12" spans="1:11" s="3" customFormat="1" x14ac:dyDescent="0.2">
      <c r="A12" s="4" t="str">
        <v/>
      </c>
      <c r="B12" s="4" t="str">
        <v/>
      </c>
    </row>
    <row r="13" spans="1:11" s="3" customFormat="1" x14ac:dyDescent="0.2">
      <c r="A13" s="4" t="str">
        <v/>
      </c>
      <c r="B13" s="4" t="str">
        <v/>
      </c>
    </row>
    <row r="14" spans="1:11" s="3" customFormat="1" x14ac:dyDescent="0.2">
      <c r="A14" s="4" t="str">
        <v/>
      </c>
      <c r="B14" s="4" t="str">
        <v/>
      </c>
    </row>
    <row r="15" spans="1:11" s="3" customFormat="1" x14ac:dyDescent="0.2">
      <c r="A15" s="4" t="str">
        <v/>
      </c>
      <c r="B15" s="4" t="str">
        <v/>
      </c>
    </row>
    <row r="16" spans="1:11" s="3" customFormat="1" x14ac:dyDescent="0.2">
      <c r="A16" s="4" t="str">
        <v/>
      </c>
      <c r="B16" s="4" t="str">
        <v/>
      </c>
    </row>
    <row r="17" spans="1:2" s="3" customFormat="1" x14ac:dyDescent="0.2">
      <c r="A17" s="4" t="str">
        <v/>
      </c>
      <c r="B17" s="4" t="str">
        <v/>
      </c>
    </row>
    <row r="18" spans="1:2" s="3" customFormat="1" x14ac:dyDescent="0.2">
      <c r="A18" s="4" t="str">
        <v/>
      </c>
      <c r="B18" s="4" t="str">
        <v/>
      </c>
    </row>
    <row r="19" spans="1:2" s="3" customFormat="1" x14ac:dyDescent="0.2">
      <c r="A19" s="4" t="str">
        <v/>
      </c>
      <c r="B19" s="4" t="str">
        <v/>
      </c>
    </row>
    <row r="20" spans="1:2" s="3" customFormat="1" x14ac:dyDescent="0.2">
      <c r="A20" s="4" t="str">
        <v/>
      </c>
      <c r="B20" s="4" t="str">
        <v/>
      </c>
    </row>
    <row r="21" spans="1:2" s="3" customFormat="1" x14ac:dyDescent="0.2">
      <c r="A21" s="4" t="str">
        <v/>
      </c>
      <c r="B21" s="4" t="str">
        <v/>
      </c>
    </row>
    <row r="22" spans="1:2" s="3" customFormat="1" x14ac:dyDescent="0.2">
      <c r="A22" s="4" t="str">
        <v/>
      </c>
      <c r="B22" s="4" t="str">
        <v/>
      </c>
    </row>
    <row r="23" spans="1:2" s="3" customFormat="1" x14ac:dyDescent="0.2">
      <c r="A23" s="4" t="str">
        <v/>
      </c>
      <c r="B23" s="4" t="str">
        <v/>
      </c>
    </row>
    <row r="24" spans="1:2" s="3" customFormat="1" x14ac:dyDescent="0.2">
      <c r="A24" s="4" t="str">
        <v/>
      </c>
      <c r="B24" s="4" t="str">
        <v/>
      </c>
    </row>
    <row r="25" spans="1:2" s="3" customFormat="1" x14ac:dyDescent="0.2">
      <c r="A25" s="4" t="str">
        <v/>
      </c>
      <c r="B25" s="4" t="str">
        <v/>
      </c>
    </row>
    <row r="26" spans="1:2" s="3" customFormat="1" x14ac:dyDescent="0.2">
      <c r="A26" s="4" t="str">
        <v/>
      </c>
      <c r="B26" s="4" t="str">
        <v/>
      </c>
    </row>
    <row r="27" spans="1:2" s="3" customFormat="1" x14ac:dyDescent="0.2">
      <c r="A27" s="4" t="str">
        <v/>
      </c>
      <c r="B27" s="4" t="str">
        <v/>
      </c>
    </row>
    <row r="28" spans="1:2" s="3" customFormat="1" x14ac:dyDescent="0.2">
      <c r="A28" s="4" t="str">
        <v/>
      </c>
      <c r="B28" s="4" t="str">
        <v/>
      </c>
    </row>
    <row r="29" spans="1:2" s="3" customFormat="1" x14ac:dyDescent="0.2">
      <c r="A29" s="4" t="str">
        <v/>
      </c>
      <c r="B29" s="4" t="str">
        <v/>
      </c>
    </row>
    <row r="30" spans="1:2" s="3" customFormat="1" x14ac:dyDescent="0.2">
      <c r="A30" s="4" t="str">
        <v/>
      </c>
      <c r="B30" s="4" t="str">
        <v/>
      </c>
    </row>
    <row r="31" spans="1:2" s="3" customFormat="1" x14ac:dyDescent="0.2">
      <c r="A31" s="4" t="str">
        <v/>
      </c>
      <c r="B31" s="4" t="str">
        <v/>
      </c>
    </row>
    <row r="32" spans="1:2" s="3" customFormat="1" x14ac:dyDescent="0.2">
      <c r="A32" s="4" t="str">
        <v/>
      </c>
      <c r="B32" s="4" t="str">
        <v/>
      </c>
    </row>
    <row r="33" spans="1:2" s="3" customFormat="1" x14ac:dyDescent="0.2">
      <c r="A33" s="4" t="str">
        <v/>
      </c>
      <c r="B33" s="4" t="str">
        <v/>
      </c>
    </row>
    <row r="34" spans="1:2" s="3" customFormat="1" x14ac:dyDescent="0.2">
      <c r="A34" s="4" t="str">
        <v/>
      </c>
      <c r="B34" s="4" t="str">
        <v/>
      </c>
    </row>
    <row r="35" spans="1:2" s="3" customFormat="1" x14ac:dyDescent="0.2">
      <c r="A35" s="4" t="str">
        <v/>
      </c>
      <c r="B35" s="4" t="str">
        <v/>
      </c>
    </row>
    <row r="36" spans="1:2" s="3" customFormat="1" x14ac:dyDescent="0.2">
      <c r="A36" s="4" t="str">
        <v/>
      </c>
      <c r="B36" s="4" t="str">
        <v/>
      </c>
    </row>
    <row r="37" spans="1:2" s="3" customFormat="1" x14ac:dyDescent="0.2">
      <c r="A37" s="4" t="str">
        <v/>
      </c>
      <c r="B37" s="4" t="str">
        <v/>
      </c>
    </row>
    <row r="38" spans="1:2" s="3" customFormat="1" x14ac:dyDescent="0.2">
      <c r="A38" s="4" t="str">
        <v/>
      </c>
      <c r="B38" s="4" t="str">
        <v/>
      </c>
    </row>
    <row r="39" spans="1:2" s="3" customFormat="1" x14ac:dyDescent="0.2">
      <c r="A39" s="4" t="str">
        <v/>
      </c>
      <c r="B39" s="4" t="str">
        <v/>
      </c>
    </row>
    <row r="40" spans="1:2" s="3" customFormat="1" x14ac:dyDescent="0.2">
      <c r="A40" s="4" t="str">
        <v/>
      </c>
      <c r="B40" s="4" t="str">
        <v/>
      </c>
    </row>
    <row r="41" spans="1:2" s="3" customFormat="1" x14ac:dyDescent="0.2">
      <c r="A41" s="4" t="str">
        <v/>
      </c>
      <c r="B41" s="4" t="str">
        <v/>
      </c>
    </row>
    <row r="42" spans="1:2" s="3" customFormat="1" x14ac:dyDescent="0.2">
      <c r="A42" s="4" t="str">
        <v/>
      </c>
      <c r="B42" s="4" t="str">
        <v/>
      </c>
    </row>
    <row r="43" spans="1:2" s="3" customFormat="1" x14ac:dyDescent="0.2">
      <c r="A43" s="4" t="str">
        <v/>
      </c>
      <c r="B43" s="4" t="str">
        <v/>
      </c>
    </row>
    <row r="44" spans="1:2" s="3" customFormat="1" x14ac:dyDescent="0.2">
      <c r="A44" s="4" t="str">
        <v/>
      </c>
      <c r="B44" s="4" t="str">
        <v/>
      </c>
    </row>
    <row r="45" spans="1:2" s="3" customFormat="1" x14ac:dyDescent="0.2">
      <c r="A45" s="4" t="str">
        <v/>
      </c>
      <c r="B45" s="4" t="str">
        <v/>
      </c>
    </row>
    <row r="46" spans="1:2" s="3" customFormat="1" x14ac:dyDescent="0.2">
      <c r="A46" s="4" t="str">
        <v/>
      </c>
      <c r="B46" s="4" t="str">
        <v/>
      </c>
    </row>
    <row r="47" spans="1:2" s="3" customFormat="1" x14ac:dyDescent="0.2">
      <c r="A47" s="4" t="str">
        <v/>
      </c>
      <c r="B47" s="4" t="str">
        <v/>
      </c>
    </row>
    <row r="48" spans="1:2" s="3" customFormat="1" x14ac:dyDescent="0.2">
      <c r="A48" s="4" t="str">
        <v/>
      </c>
      <c r="B48" s="4" t="str">
        <v/>
      </c>
    </row>
    <row r="49" spans="1:2" s="3" customFormat="1" x14ac:dyDescent="0.2">
      <c r="A49" s="4" t="str">
        <v/>
      </c>
      <c r="B49" s="4" t="str">
        <v/>
      </c>
    </row>
    <row r="50" spans="1:2" s="3" customFormat="1" x14ac:dyDescent="0.2">
      <c r="A50" s="4" t="str">
        <v/>
      </c>
      <c r="B50" s="4" t="str">
        <v/>
      </c>
    </row>
    <row r="51" spans="1:2" s="3" customFormat="1" x14ac:dyDescent="0.2">
      <c r="A51" s="4" t="str">
        <v/>
      </c>
      <c r="B51" s="4" t="str">
        <v/>
      </c>
    </row>
    <row r="52" spans="1:2" s="3" customFormat="1" x14ac:dyDescent="0.2">
      <c r="A52" s="4" t="str">
        <v/>
      </c>
      <c r="B52" s="4" t="str">
        <v/>
      </c>
    </row>
    <row r="53" spans="1:2" s="3" customFormat="1" x14ac:dyDescent="0.2">
      <c r="A53" s="4" t="str">
        <v/>
      </c>
      <c r="B53" s="4" t="str">
        <v/>
      </c>
    </row>
    <row r="54" spans="1:2" s="3" customFormat="1" x14ac:dyDescent="0.2">
      <c r="A54" s="4" t="str">
        <v/>
      </c>
      <c r="B54" s="4" t="str">
        <v/>
      </c>
    </row>
    <row r="55" spans="1:2" s="3" customFormat="1" x14ac:dyDescent="0.2">
      <c r="A55" s="4" t="str">
        <v/>
      </c>
      <c r="B55" s="4" t="str">
        <v/>
      </c>
    </row>
    <row r="56" spans="1:2" s="3" customFormat="1" x14ac:dyDescent="0.2">
      <c r="A56" s="4" t="str">
        <v/>
      </c>
      <c r="B56" s="4" t="str">
        <v/>
      </c>
    </row>
    <row r="57" spans="1:2" s="3" customFormat="1" x14ac:dyDescent="0.2">
      <c r="A57" s="4" t="str">
        <v/>
      </c>
      <c r="B57" s="4" t="str">
        <v/>
      </c>
    </row>
    <row r="58" spans="1:2" s="3" customFormat="1" x14ac:dyDescent="0.2">
      <c r="A58" s="4" t="str">
        <v/>
      </c>
      <c r="B58" s="4" t="str">
        <v/>
      </c>
    </row>
    <row r="59" spans="1:2" s="3" customFormat="1" x14ac:dyDescent="0.2">
      <c r="A59" s="4" t="str">
        <v/>
      </c>
      <c r="B59" s="4" t="str">
        <v/>
      </c>
    </row>
    <row r="60" spans="1:2" s="3" customFormat="1" x14ac:dyDescent="0.2">
      <c r="A60" s="4" t="str">
        <v/>
      </c>
      <c r="B60" s="4" t="str">
        <v/>
      </c>
    </row>
    <row r="61" spans="1:2" s="3" customFormat="1" x14ac:dyDescent="0.2">
      <c r="A61" s="4" t="str">
        <v/>
      </c>
      <c r="B61" s="4" t="str">
        <v/>
      </c>
    </row>
    <row r="62" spans="1:2" s="3" customFormat="1" x14ac:dyDescent="0.2">
      <c r="A62" s="4" t="str">
        <v/>
      </c>
      <c r="B62" s="4" t="str">
        <v/>
      </c>
    </row>
    <row r="63" spans="1:2" s="3" customFormat="1" x14ac:dyDescent="0.2">
      <c r="A63" s="4" t="str">
        <v/>
      </c>
      <c r="B63" s="4" t="str">
        <v/>
      </c>
    </row>
    <row r="64" spans="1:2" s="3" customFormat="1" x14ac:dyDescent="0.2">
      <c r="A64" s="4" t="str">
        <v/>
      </c>
      <c r="B64" s="4" t="str">
        <v/>
      </c>
    </row>
    <row r="65" spans="1:2" s="3" customFormat="1" x14ac:dyDescent="0.2">
      <c r="A65" s="4" t="str">
        <v/>
      </c>
      <c r="B65" s="4" t="str">
        <v/>
      </c>
    </row>
    <row r="66" spans="1:2" s="3" customFormat="1" x14ac:dyDescent="0.2">
      <c r="A66" s="4" t="str">
        <v/>
      </c>
      <c r="B66" s="4" t="str">
        <v/>
      </c>
    </row>
    <row r="67" spans="1:2" s="3" customFormat="1" x14ac:dyDescent="0.2">
      <c r="A67" s="4" t="str">
        <v/>
      </c>
      <c r="B67" s="4" t="str">
        <v/>
      </c>
    </row>
    <row r="68" spans="1:2" s="3" customFormat="1" x14ac:dyDescent="0.2">
      <c r="A68" s="4" t="str">
        <v/>
      </c>
      <c r="B68" s="4" t="str">
        <v/>
      </c>
    </row>
    <row r="69" spans="1:2" s="3" customFormat="1" x14ac:dyDescent="0.2">
      <c r="A69" s="4" t="str">
        <v/>
      </c>
      <c r="B69" s="4" t="str">
        <v/>
      </c>
    </row>
    <row r="70" spans="1:2" s="3" customFormat="1" x14ac:dyDescent="0.2">
      <c r="A70" s="4" t="str">
        <v/>
      </c>
      <c r="B70" s="4" t="str">
        <v/>
      </c>
    </row>
    <row r="71" spans="1:2" s="3" customFormat="1" x14ac:dyDescent="0.2">
      <c r="A71" s="4" t="str">
        <v/>
      </c>
      <c r="B71" s="4" t="str">
        <v/>
      </c>
    </row>
    <row r="72" spans="1:2" s="3" customFormat="1" x14ac:dyDescent="0.2">
      <c r="A72" s="4" t="str">
        <v/>
      </c>
      <c r="B72" s="4" t="str">
        <v/>
      </c>
    </row>
    <row r="73" spans="1:2" s="3" customFormat="1" x14ac:dyDescent="0.2">
      <c r="A73" s="4" t="str">
        <v/>
      </c>
      <c r="B73" s="4" t="str">
        <v/>
      </c>
    </row>
    <row r="74" spans="1:2" s="3" customFormat="1" x14ac:dyDescent="0.2">
      <c r="A74" s="4" t="str">
        <v/>
      </c>
      <c r="B74" s="4" t="str">
        <v/>
      </c>
    </row>
    <row r="75" spans="1:2" s="3" customFormat="1" x14ac:dyDescent="0.2">
      <c r="A75" s="4" t="str">
        <v/>
      </c>
      <c r="B75" s="4" t="str">
        <v/>
      </c>
    </row>
    <row r="76" spans="1:2" s="3" customFormat="1" x14ac:dyDescent="0.2">
      <c r="A76" s="4" t="str">
        <v/>
      </c>
      <c r="B76" s="4" t="str">
        <v/>
      </c>
    </row>
    <row r="77" spans="1:2" s="3" customFormat="1" x14ac:dyDescent="0.2">
      <c r="A77" s="4" t="str">
        <v/>
      </c>
      <c r="B77" s="4" t="str">
        <v/>
      </c>
    </row>
    <row r="78" spans="1:2" s="3" customFormat="1" x14ac:dyDescent="0.2">
      <c r="A78" s="4" t="str">
        <v/>
      </c>
      <c r="B78" s="4" t="str">
        <v/>
      </c>
    </row>
    <row r="79" spans="1:2" s="3" customFormat="1" x14ac:dyDescent="0.2">
      <c r="A79" s="4" t="str">
        <v/>
      </c>
      <c r="B79" s="4" t="str">
        <v/>
      </c>
    </row>
    <row r="80" spans="1:2" s="3" customFormat="1" x14ac:dyDescent="0.2">
      <c r="A80" s="4" t="str">
        <v/>
      </c>
      <c r="B80" s="4" t="str">
        <v/>
      </c>
    </row>
    <row r="81" spans="1:2" s="3" customFormat="1" x14ac:dyDescent="0.2">
      <c r="A81" s="4" t="str">
        <v/>
      </c>
      <c r="B81" s="4" t="str">
        <v/>
      </c>
    </row>
    <row r="82" spans="1:2" s="3" customFormat="1" x14ac:dyDescent="0.2">
      <c r="A82" s="4" t="str">
        <v/>
      </c>
      <c r="B82" s="4" t="str">
        <v/>
      </c>
    </row>
    <row r="83" spans="1:2" s="3" customFormat="1" x14ac:dyDescent="0.2">
      <c r="A83" s="4" t="str">
        <v/>
      </c>
      <c r="B83" s="4" t="str">
        <v/>
      </c>
    </row>
    <row r="84" spans="1:2" s="3" customFormat="1" x14ac:dyDescent="0.2">
      <c r="A84" s="4" t="str">
        <v/>
      </c>
      <c r="B84" s="4" t="str">
        <v/>
      </c>
    </row>
    <row r="85" spans="1:2" s="3" customFormat="1" x14ac:dyDescent="0.2">
      <c r="A85" s="4" t="str">
        <v/>
      </c>
      <c r="B85" s="4" t="str">
        <v/>
      </c>
    </row>
    <row r="86" spans="1:2" s="3" customFormat="1" x14ac:dyDescent="0.2">
      <c r="A86" s="4" t="str">
        <v/>
      </c>
      <c r="B86" s="4" t="str">
        <v/>
      </c>
    </row>
    <row r="87" spans="1:2" s="3" customFormat="1" x14ac:dyDescent="0.2">
      <c r="A87" s="4" t="str">
        <v/>
      </c>
      <c r="B87" s="4" t="str">
        <v/>
      </c>
    </row>
    <row r="88" spans="1:2" s="3" customFormat="1" x14ac:dyDescent="0.2">
      <c r="A88" s="4" t="str">
        <v/>
      </c>
      <c r="B88" s="4" t="str">
        <v/>
      </c>
    </row>
    <row r="89" spans="1:2" s="3" customFormat="1" x14ac:dyDescent="0.2">
      <c r="A89" s="4" t="str">
        <v/>
      </c>
      <c r="B89" s="4" t="str">
        <v/>
      </c>
    </row>
    <row r="90" spans="1:2" s="3" customFormat="1" x14ac:dyDescent="0.2">
      <c r="A90" s="4" t="str">
        <v/>
      </c>
      <c r="B90" s="4" t="str">
        <v/>
      </c>
    </row>
    <row r="91" spans="1:2" s="3" customFormat="1" x14ac:dyDescent="0.2">
      <c r="A91" s="4" t="str">
        <v/>
      </c>
      <c r="B91" s="4" t="str">
        <v/>
      </c>
    </row>
    <row r="92" spans="1:2" s="3" customFormat="1" x14ac:dyDescent="0.2">
      <c r="A92" s="4" t="str">
        <v/>
      </c>
      <c r="B92" s="4" t="str">
        <v/>
      </c>
    </row>
    <row r="93" spans="1:2" s="3" customFormat="1" x14ac:dyDescent="0.2">
      <c r="A93" s="4" t="str">
        <v/>
      </c>
      <c r="B93" s="4" t="str">
        <v/>
      </c>
    </row>
    <row r="94" spans="1:2" s="3" customFormat="1" x14ac:dyDescent="0.2">
      <c r="A94" s="4" t="str">
        <v/>
      </c>
      <c r="B94" s="4" t="str">
        <v/>
      </c>
    </row>
    <row r="95" spans="1:2" s="3" customFormat="1" x14ac:dyDescent="0.2">
      <c r="A95" s="4" t="str">
        <v/>
      </c>
      <c r="B95" s="4" t="str">
        <v/>
      </c>
    </row>
    <row r="96" spans="1:2" s="3" customFormat="1" x14ac:dyDescent="0.2">
      <c r="A96" s="4" t="str">
        <v/>
      </c>
      <c r="B96" s="4" t="str">
        <v/>
      </c>
    </row>
    <row r="97" spans="1:2" s="3" customFormat="1" x14ac:dyDescent="0.2">
      <c r="A97" s="4" t="str">
        <v/>
      </c>
      <c r="B97" s="4" t="str">
        <v/>
      </c>
    </row>
    <row r="98" spans="1:2" s="3" customFormat="1" x14ac:dyDescent="0.2">
      <c r="A98" s="4" t="str">
        <v/>
      </c>
      <c r="B98" s="4" t="str">
        <v/>
      </c>
    </row>
    <row r="99" spans="1:2" s="3" customFormat="1" x14ac:dyDescent="0.2">
      <c r="A99" s="4" t="str">
        <v/>
      </c>
      <c r="B99" s="4" t="str">
        <v/>
      </c>
    </row>
    <row r="100" spans="1:2" s="3" customFormat="1" x14ac:dyDescent="0.2">
      <c r="A100" s="4" t="str">
        <v/>
      </c>
      <c r="B100" s="4" t="str">
        <v/>
      </c>
    </row>
    <row r="101" spans="1:2" s="3" customFormat="1" x14ac:dyDescent="0.2"/>
    <row r="102" spans="1:2" s="3" customFormat="1" x14ac:dyDescent="0.2"/>
    <row r="103" spans="1:2" s="3" customFormat="1" x14ac:dyDescent="0.2"/>
    <row r="104" spans="1:2" s="3" customFormat="1" x14ac:dyDescent="0.2"/>
    <row r="105" spans="1:2" s="3" customFormat="1" x14ac:dyDescent="0.2"/>
    <row r="106" spans="1:2" s="3" customFormat="1" x14ac:dyDescent="0.2"/>
    <row r="107" spans="1:2" s="3" customFormat="1" x14ac:dyDescent="0.2"/>
    <row r="108" spans="1:2" s="3" customFormat="1" x14ac:dyDescent="0.2"/>
    <row r="109" spans="1:2" s="3" customFormat="1" x14ac:dyDescent="0.2"/>
    <row r="110" spans="1:2" s="3" customFormat="1" x14ac:dyDescent="0.2"/>
    <row r="111" spans="1:2" s="3" customFormat="1" x14ac:dyDescent="0.2"/>
    <row r="112" spans="1:2"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1:E1">
    <cfRule type="notContainsErrors" dxfId="10" priority="1">
      <formula>NOT(ISERROR(A1))</formula>
    </cfRule>
  </conditionalFormatting>
  <conditionalFormatting sqref="A2:K3">
    <cfRule type="notContainsErrors" dxfId="9" priority="8">
      <formula>NOT(ISERROR(A2))</formula>
    </cfRule>
  </conditionalFormatting>
  <conditionalFormatting sqref="A4:K4">
    <cfRule type="notContainsErrors" dxfId="8" priority="7">
      <formula>NOT(ISERROR(A4))</formula>
    </cfRule>
  </conditionalFormatting>
  <conditionalFormatting sqref="I1">
    <cfRule type="notContainsErrors" dxfId="7" priority="6">
      <formula>NOT(ISERROR(I1))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0000000}">
          <x14:formula1>
            <xm:f>lib_prep!$B$5:$B$100</xm:f>
          </x14:formula1>
          <xm:sqref>C5:C1048576</xm:sqref>
        </x14:dataValidation>
        <x14:dataValidation type="list" allowBlank="1" showInputMessage="1" showErrorMessage="1" xr:uid="{00000000-0002-0000-0C00-000001000000}">
          <x14:formula1>
            <xm:f>sequencing!$B$5:$B$100</xm:f>
          </x14:formula1>
          <xm:sqref>D5:D1048576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004"/>
  <sheetViews>
    <sheetView topLeftCell="J1" workbookViewId="0">
      <selection activeCell="C5" sqref="C5:P5"/>
    </sheetView>
  </sheetViews>
  <sheetFormatPr baseColWidth="10" defaultColWidth="8.83203125" defaultRowHeight="15" x14ac:dyDescent="0.2"/>
  <cols>
    <col min="1" max="1" width="47.6640625" style="1" customWidth="1"/>
    <col min="2" max="2" width="70.6640625" style="1" customWidth="1"/>
    <col min="3" max="3" width="12.6640625" style="1" customWidth="1"/>
    <col min="4" max="4" width="31.6640625" style="1" customWidth="1"/>
    <col min="5" max="5" width="57.6640625" style="1" customWidth="1"/>
    <col min="6" max="6" width="38.6640625" style="1" customWidth="1"/>
    <col min="7" max="7" width="31.6640625" style="1" customWidth="1"/>
    <col min="8" max="8" width="59.6640625" style="1" customWidth="1"/>
    <col min="9" max="9" width="65.6640625" style="1" customWidth="1"/>
    <col min="10" max="10" width="33.6640625" style="1" customWidth="1"/>
    <col min="11" max="11" width="21.6640625" style="1" customWidth="1"/>
    <col min="12" max="12" width="51.6640625" style="1" customWidth="1"/>
    <col min="13" max="13" width="43.6640625" style="1" customWidth="1"/>
    <col min="14" max="14" width="44.6640625" style="1" customWidth="1"/>
    <col min="15" max="15" width="54.6640625" style="1" customWidth="1"/>
    <col min="16" max="16" width="21.6640625" style="1" customWidth="1"/>
  </cols>
  <sheetData>
    <row r="1" spans="1:16" ht="32" x14ac:dyDescent="0.2">
      <c r="A1" s="1" t="s">
        <v>0</v>
      </c>
      <c r="B1" s="1" t="s">
        <v>519</v>
      </c>
      <c r="C1" s="1" t="s">
        <v>522</v>
      </c>
      <c r="D1" s="1" t="s">
        <v>525</v>
      </c>
      <c r="E1" s="1" t="s">
        <v>528</v>
      </c>
      <c r="F1" s="1" t="s">
        <v>531</v>
      </c>
      <c r="G1" s="1" t="s">
        <v>534</v>
      </c>
      <c r="H1" s="1" t="s">
        <v>537</v>
      </c>
      <c r="I1" s="1" t="s">
        <v>540</v>
      </c>
      <c r="J1" s="1" t="s">
        <v>543</v>
      </c>
      <c r="K1" s="1" t="s">
        <v>545</v>
      </c>
      <c r="L1" s="1" t="s">
        <v>547</v>
      </c>
      <c r="M1" s="1" t="s">
        <v>550</v>
      </c>
      <c r="N1" s="1" t="s">
        <v>552</v>
      </c>
      <c r="O1" s="1" t="s">
        <v>554</v>
      </c>
      <c r="P1" s="1" t="s">
        <v>556</v>
      </c>
    </row>
    <row r="2" spans="1:16" ht="16" x14ac:dyDescent="0.2">
      <c r="A2" s="1" t="s">
        <v>1</v>
      </c>
      <c r="B2" s="1" t="s">
        <v>520</v>
      </c>
      <c r="C2" s="1" t="s">
        <v>523</v>
      </c>
      <c r="D2" s="1" t="s">
        <v>526</v>
      </c>
      <c r="E2" s="1" t="s">
        <v>529</v>
      </c>
      <c r="F2" s="1" t="s">
        <v>532</v>
      </c>
      <c r="G2" s="1" t="s">
        <v>535</v>
      </c>
      <c r="H2" s="1" t="s">
        <v>538</v>
      </c>
      <c r="I2" s="1" t="s">
        <v>541</v>
      </c>
      <c r="J2" s="1" t="s">
        <v>544</v>
      </c>
      <c r="K2" s="1" t="s">
        <v>546</v>
      </c>
      <c r="L2" s="1" t="s">
        <v>548</v>
      </c>
      <c r="M2" s="1" t="s">
        <v>551</v>
      </c>
      <c r="N2" s="1" t="s">
        <v>553</v>
      </c>
      <c r="O2" s="1" t="s">
        <v>555</v>
      </c>
      <c r="P2" s="1" t="s">
        <v>557</v>
      </c>
    </row>
    <row r="3" spans="1:16" ht="16" x14ac:dyDescent="0.2">
      <c r="A3" s="1" t="s">
        <v>2</v>
      </c>
      <c r="B3" s="1" t="s">
        <v>521</v>
      </c>
      <c r="C3" s="1" t="s">
        <v>524</v>
      </c>
      <c r="D3" s="5" t="s">
        <v>527</v>
      </c>
      <c r="E3" s="1" t="s">
        <v>530</v>
      </c>
      <c r="F3" s="1" t="s">
        <v>533</v>
      </c>
      <c r="G3" s="1" t="s">
        <v>536</v>
      </c>
      <c r="H3" s="1" t="s">
        <v>539</v>
      </c>
      <c r="I3" s="1" t="s">
        <v>542</v>
      </c>
      <c r="K3" s="1">
        <v>2.5</v>
      </c>
      <c r="L3" s="1" t="s">
        <v>549</v>
      </c>
    </row>
    <row r="4" spans="1:16" x14ac:dyDescent="0.2">
      <c r="A4" s="2" t="s">
        <v>18</v>
      </c>
    </row>
    <row r="5" spans="1:16" s="3" customFormat="1" ht="16" x14ac:dyDescent="0.2">
      <c r="A5" s="4" t="str">
        <f t="array" ref="A5:A100">IF(ISBLANK(C5:C100)*ISBLANK(D5:D100)*ISBLANK(E5:E100)*ISBLANK(F5:F100), "", IF(study!$A$5 &lt;&gt; "", study!$A$5, "" ))</f>
        <v>STUDY004</v>
      </c>
      <c r="B5" s="4" t="str">
        <f t="array" ref="B5:B100">IF(ISBLANK(C5:C100)*ISBLANK(D5:D100)*ISBLANK(E5:E100)*ISBLANK(F5:F100), "", CONCATENATE("EXPSET", TEXT(ROW()-4,"000")))</f>
        <v>EXPSET001</v>
      </c>
      <c r="C5" s="3" t="s">
        <v>524</v>
      </c>
      <c r="D5" s="3" t="s">
        <v>527</v>
      </c>
      <c r="E5" s="3" t="s">
        <v>530</v>
      </c>
      <c r="F5" s="3" t="s">
        <v>591</v>
      </c>
      <c r="G5" s="3" t="s">
        <v>592</v>
      </c>
      <c r="H5" s="3" t="s">
        <v>539</v>
      </c>
      <c r="I5" s="3" t="s">
        <v>593</v>
      </c>
      <c r="K5" s="3">
        <v>1.9</v>
      </c>
      <c r="L5" s="3" t="s">
        <v>549</v>
      </c>
      <c r="M5" s="3" t="s">
        <v>594</v>
      </c>
      <c r="N5" s="3" t="s">
        <v>595</v>
      </c>
      <c r="O5" s="3" t="s">
        <v>596</v>
      </c>
      <c r="P5" s="3" t="s">
        <v>597</v>
      </c>
    </row>
    <row r="6" spans="1:16" s="3" customFormat="1" x14ac:dyDescent="0.2">
      <c r="A6" s="4" t="str">
        <v/>
      </c>
      <c r="B6" s="4" t="str">
        <v/>
      </c>
    </row>
    <row r="7" spans="1:16" s="3" customFormat="1" x14ac:dyDescent="0.2">
      <c r="A7" s="4" t="str">
        <v/>
      </c>
      <c r="B7" s="4" t="str">
        <v/>
      </c>
    </row>
    <row r="8" spans="1:16" s="3" customFormat="1" x14ac:dyDescent="0.2">
      <c r="A8" s="4" t="str">
        <v/>
      </c>
      <c r="B8" s="4" t="str">
        <v/>
      </c>
    </row>
    <row r="9" spans="1:16" s="3" customFormat="1" x14ac:dyDescent="0.2">
      <c r="A9" s="4" t="str">
        <v/>
      </c>
      <c r="B9" s="4" t="str">
        <v/>
      </c>
    </row>
    <row r="10" spans="1:16" s="3" customFormat="1" x14ac:dyDescent="0.2">
      <c r="A10" s="4" t="str">
        <v/>
      </c>
      <c r="B10" s="4" t="str">
        <v/>
      </c>
    </row>
    <row r="11" spans="1:16" s="3" customFormat="1" x14ac:dyDescent="0.2">
      <c r="A11" s="4" t="str">
        <v/>
      </c>
      <c r="B11" s="4" t="str">
        <v/>
      </c>
    </row>
    <row r="12" spans="1:16" s="3" customFormat="1" x14ac:dyDescent="0.2">
      <c r="A12" s="4" t="str">
        <v/>
      </c>
      <c r="B12" s="4" t="str">
        <v/>
      </c>
    </row>
    <row r="13" spans="1:16" s="3" customFormat="1" x14ac:dyDescent="0.2">
      <c r="A13" s="4" t="str">
        <v/>
      </c>
      <c r="B13" s="4" t="str">
        <v/>
      </c>
    </row>
    <row r="14" spans="1:16" s="3" customFormat="1" x14ac:dyDescent="0.2">
      <c r="A14" s="4" t="str">
        <v/>
      </c>
      <c r="B14" s="4" t="str">
        <v/>
      </c>
    </row>
    <row r="15" spans="1:16" s="3" customFormat="1" x14ac:dyDescent="0.2">
      <c r="A15" s="4" t="str">
        <v/>
      </c>
      <c r="B15" s="4" t="str">
        <v/>
      </c>
    </row>
    <row r="16" spans="1:16" s="3" customFormat="1" x14ac:dyDescent="0.2">
      <c r="A16" s="4" t="str">
        <v/>
      </c>
      <c r="B16" s="4" t="str">
        <v/>
      </c>
    </row>
    <row r="17" spans="1:2" s="3" customFormat="1" x14ac:dyDescent="0.2">
      <c r="A17" s="4" t="str">
        <v/>
      </c>
      <c r="B17" s="4" t="str">
        <v/>
      </c>
    </row>
    <row r="18" spans="1:2" s="3" customFormat="1" x14ac:dyDescent="0.2">
      <c r="A18" s="4" t="str">
        <v/>
      </c>
      <c r="B18" s="4" t="str">
        <v/>
      </c>
    </row>
    <row r="19" spans="1:2" s="3" customFormat="1" x14ac:dyDescent="0.2">
      <c r="A19" s="4" t="str">
        <v/>
      </c>
      <c r="B19" s="4" t="str">
        <v/>
      </c>
    </row>
    <row r="20" spans="1:2" s="3" customFormat="1" x14ac:dyDescent="0.2">
      <c r="A20" s="4" t="str">
        <v/>
      </c>
      <c r="B20" s="4" t="str">
        <v/>
      </c>
    </row>
    <row r="21" spans="1:2" s="3" customFormat="1" x14ac:dyDescent="0.2">
      <c r="A21" s="4" t="str">
        <v/>
      </c>
      <c r="B21" s="4" t="str">
        <v/>
      </c>
    </row>
    <row r="22" spans="1:2" s="3" customFormat="1" x14ac:dyDescent="0.2">
      <c r="A22" s="4" t="str">
        <v/>
      </c>
      <c r="B22" s="4" t="str">
        <v/>
      </c>
    </row>
    <row r="23" spans="1:2" s="3" customFormat="1" x14ac:dyDescent="0.2">
      <c r="A23" s="4" t="str">
        <v/>
      </c>
      <c r="B23" s="4" t="str">
        <v/>
      </c>
    </row>
    <row r="24" spans="1:2" s="3" customFormat="1" x14ac:dyDescent="0.2">
      <c r="A24" s="4" t="str">
        <v/>
      </c>
      <c r="B24" s="4" t="str">
        <v/>
      </c>
    </row>
    <row r="25" spans="1:2" s="3" customFormat="1" x14ac:dyDescent="0.2">
      <c r="A25" s="4" t="str">
        <v/>
      </c>
      <c r="B25" s="4" t="str">
        <v/>
      </c>
    </row>
    <row r="26" spans="1:2" s="3" customFormat="1" x14ac:dyDescent="0.2">
      <c r="A26" s="4" t="str">
        <v/>
      </c>
      <c r="B26" s="4" t="str">
        <v/>
      </c>
    </row>
    <row r="27" spans="1:2" s="3" customFormat="1" x14ac:dyDescent="0.2">
      <c r="A27" s="4" t="str">
        <v/>
      </c>
      <c r="B27" s="4" t="str">
        <v/>
      </c>
    </row>
    <row r="28" spans="1:2" s="3" customFormat="1" x14ac:dyDescent="0.2">
      <c r="A28" s="4" t="str">
        <v/>
      </c>
      <c r="B28" s="4" t="str">
        <v/>
      </c>
    </row>
    <row r="29" spans="1:2" s="3" customFormat="1" x14ac:dyDescent="0.2">
      <c r="A29" s="4" t="str">
        <v/>
      </c>
      <c r="B29" s="4" t="str">
        <v/>
      </c>
    </row>
    <row r="30" spans="1:2" s="3" customFormat="1" x14ac:dyDescent="0.2">
      <c r="A30" s="4" t="str">
        <v/>
      </c>
      <c r="B30" s="4" t="str">
        <v/>
      </c>
    </row>
    <row r="31" spans="1:2" s="3" customFormat="1" x14ac:dyDescent="0.2">
      <c r="A31" s="4" t="str">
        <v/>
      </c>
      <c r="B31" s="4" t="str">
        <v/>
      </c>
    </row>
    <row r="32" spans="1:2" s="3" customFormat="1" x14ac:dyDescent="0.2">
      <c r="A32" s="4" t="str">
        <v/>
      </c>
      <c r="B32" s="4" t="str">
        <v/>
      </c>
    </row>
    <row r="33" spans="1:2" s="3" customFormat="1" x14ac:dyDescent="0.2">
      <c r="A33" s="4" t="str">
        <v/>
      </c>
      <c r="B33" s="4" t="str">
        <v/>
      </c>
    </row>
    <row r="34" spans="1:2" s="3" customFormat="1" x14ac:dyDescent="0.2">
      <c r="A34" s="4" t="str">
        <v/>
      </c>
      <c r="B34" s="4" t="str">
        <v/>
      </c>
    </row>
    <row r="35" spans="1:2" s="3" customFormat="1" x14ac:dyDescent="0.2">
      <c r="A35" s="4" t="str">
        <v/>
      </c>
      <c r="B35" s="4" t="str">
        <v/>
      </c>
    </row>
    <row r="36" spans="1:2" s="3" customFormat="1" x14ac:dyDescent="0.2">
      <c r="A36" s="4" t="str">
        <v/>
      </c>
      <c r="B36" s="4" t="str">
        <v/>
      </c>
    </row>
    <row r="37" spans="1:2" s="3" customFormat="1" x14ac:dyDescent="0.2">
      <c r="A37" s="4" t="str">
        <v/>
      </c>
      <c r="B37" s="4" t="str">
        <v/>
      </c>
    </row>
    <row r="38" spans="1:2" s="3" customFormat="1" x14ac:dyDescent="0.2">
      <c r="A38" s="4" t="str">
        <v/>
      </c>
      <c r="B38" s="4" t="str">
        <v/>
      </c>
    </row>
    <row r="39" spans="1:2" s="3" customFormat="1" x14ac:dyDescent="0.2">
      <c r="A39" s="4" t="str">
        <v/>
      </c>
      <c r="B39" s="4" t="str">
        <v/>
      </c>
    </row>
    <row r="40" spans="1:2" s="3" customFormat="1" x14ac:dyDescent="0.2">
      <c r="A40" s="4" t="str">
        <v/>
      </c>
      <c r="B40" s="4" t="str">
        <v/>
      </c>
    </row>
    <row r="41" spans="1:2" s="3" customFormat="1" x14ac:dyDescent="0.2">
      <c r="A41" s="4" t="str">
        <v/>
      </c>
      <c r="B41" s="4" t="str">
        <v/>
      </c>
    </row>
    <row r="42" spans="1:2" s="3" customFormat="1" x14ac:dyDescent="0.2">
      <c r="A42" s="4" t="str">
        <v/>
      </c>
      <c r="B42" s="4" t="str">
        <v/>
      </c>
    </row>
    <row r="43" spans="1:2" s="3" customFormat="1" x14ac:dyDescent="0.2">
      <c r="A43" s="4" t="str">
        <v/>
      </c>
      <c r="B43" s="4" t="str">
        <v/>
      </c>
    </row>
    <row r="44" spans="1:2" s="3" customFormat="1" x14ac:dyDescent="0.2">
      <c r="A44" s="4" t="str">
        <v/>
      </c>
      <c r="B44" s="4" t="str">
        <v/>
      </c>
    </row>
    <row r="45" spans="1:2" s="3" customFormat="1" x14ac:dyDescent="0.2">
      <c r="A45" s="4" t="str">
        <v/>
      </c>
      <c r="B45" s="4" t="str">
        <v/>
      </c>
    </row>
    <row r="46" spans="1:2" s="3" customFormat="1" x14ac:dyDescent="0.2">
      <c r="A46" s="4" t="str">
        <v/>
      </c>
      <c r="B46" s="4" t="str">
        <v/>
      </c>
    </row>
    <row r="47" spans="1:2" s="3" customFormat="1" x14ac:dyDescent="0.2">
      <c r="A47" s="4" t="str">
        <v/>
      </c>
      <c r="B47" s="4" t="str">
        <v/>
      </c>
    </row>
    <row r="48" spans="1:2" s="3" customFormat="1" x14ac:dyDescent="0.2">
      <c r="A48" s="4" t="str">
        <v/>
      </c>
      <c r="B48" s="4" t="str">
        <v/>
      </c>
    </row>
    <row r="49" spans="1:2" s="3" customFormat="1" x14ac:dyDescent="0.2">
      <c r="A49" s="4" t="str">
        <v/>
      </c>
      <c r="B49" s="4" t="str">
        <v/>
      </c>
    </row>
    <row r="50" spans="1:2" s="3" customFormat="1" x14ac:dyDescent="0.2">
      <c r="A50" s="4" t="str">
        <v/>
      </c>
      <c r="B50" s="4" t="str">
        <v/>
      </c>
    </row>
    <row r="51" spans="1:2" s="3" customFormat="1" x14ac:dyDescent="0.2">
      <c r="A51" s="4" t="str">
        <v/>
      </c>
      <c r="B51" s="4" t="str">
        <v/>
      </c>
    </row>
    <row r="52" spans="1:2" s="3" customFormat="1" x14ac:dyDescent="0.2">
      <c r="A52" s="4" t="str">
        <v/>
      </c>
      <c r="B52" s="4" t="str">
        <v/>
      </c>
    </row>
    <row r="53" spans="1:2" s="3" customFormat="1" x14ac:dyDescent="0.2">
      <c r="A53" s="4" t="str">
        <v/>
      </c>
      <c r="B53" s="4" t="str">
        <v/>
      </c>
    </row>
    <row r="54" spans="1:2" s="3" customFormat="1" x14ac:dyDescent="0.2">
      <c r="A54" s="4" t="str">
        <v/>
      </c>
      <c r="B54" s="4" t="str">
        <v/>
      </c>
    </row>
    <row r="55" spans="1:2" s="3" customFormat="1" x14ac:dyDescent="0.2">
      <c r="A55" s="4" t="str">
        <v/>
      </c>
      <c r="B55" s="4" t="str">
        <v/>
      </c>
    </row>
    <row r="56" spans="1:2" s="3" customFormat="1" x14ac:dyDescent="0.2">
      <c r="A56" s="4" t="str">
        <v/>
      </c>
      <c r="B56" s="4" t="str">
        <v/>
      </c>
    </row>
    <row r="57" spans="1:2" s="3" customFormat="1" x14ac:dyDescent="0.2">
      <c r="A57" s="4" t="str">
        <v/>
      </c>
      <c r="B57" s="4" t="str">
        <v/>
      </c>
    </row>
    <row r="58" spans="1:2" s="3" customFormat="1" x14ac:dyDescent="0.2">
      <c r="A58" s="4" t="str">
        <v/>
      </c>
      <c r="B58" s="4" t="str">
        <v/>
      </c>
    </row>
    <row r="59" spans="1:2" s="3" customFormat="1" x14ac:dyDescent="0.2">
      <c r="A59" s="4" t="str">
        <v/>
      </c>
      <c r="B59" s="4" t="str">
        <v/>
      </c>
    </row>
    <row r="60" spans="1:2" s="3" customFormat="1" x14ac:dyDescent="0.2">
      <c r="A60" s="4" t="str">
        <v/>
      </c>
      <c r="B60" s="4" t="str">
        <v/>
      </c>
    </row>
    <row r="61" spans="1:2" s="3" customFormat="1" x14ac:dyDescent="0.2">
      <c r="A61" s="4" t="str">
        <v/>
      </c>
      <c r="B61" s="4" t="str">
        <v/>
      </c>
    </row>
    <row r="62" spans="1:2" s="3" customFormat="1" x14ac:dyDescent="0.2">
      <c r="A62" s="4" t="str">
        <v/>
      </c>
      <c r="B62" s="4" t="str">
        <v/>
      </c>
    </row>
    <row r="63" spans="1:2" s="3" customFormat="1" x14ac:dyDescent="0.2">
      <c r="A63" s="4" t="str">
        <v/>
      </c>
      <c r="B63" s="4" t="str">
        <v/>
      </c>
    </row>
    <row r="64" spans="1:2" s="3" customFormat="1" x14ac:dyDescent="0.2">
      <c r="A64" s="4" t="str">
        <v/>
      </c>
      <c r="B64" s="4" t="str">
        <v/>
      </c>
    </row>
    <row r="65" spans="1:2" s="3" customFormat="1" x14ac:dyDescent="0.2">
      <c r="A65" s="4" t="str">
        <v/>
      </c>
      <c r="B65" s="4" t="str">
        <v/>
      </c>
    </row>
    <row r="66" spans="1:2" s="3" customFormat="1" x14ac:dyDescent="0.2">
      <c r="A66" s="4" t="str">
        <v/>
      </c>
      <c r="B66" s="4" t="str">
        <v/>
      </c>
    </row>
    <row r="67" spans="1:2" s="3" customFormat="1" x14ac:dyDescent="0.2">
      <c r="A67" s="4" t="str">
        <v/>
      </c>
      <c r="B67" s="4" t="str">
        <v/>
      </c>
    </row>
    <row r="68" spans="1:2" s="3" customFormat="1" x14ac:dyDescent="0.2">
      <c r="A68" s="4" t="str">
        <v/>
      </c>
      <c r="B68" s="4" t="str">
        <v/>
      </c>
    </row>
    <row r="69" spans="1:2" s="3" customFormat="1" x14ac:dyDescent="0.2">
      <c r="A69" s="4" t="str">
        <v/>
      </c>
      <c r="B69" s="4" t="str">
        <v/>
      </c>
    </row>
    <row r="70" spans="1:2" s="3" customFormat="1" x14ac:dyDescent="0.2">
      <c r="A70" s="4" t="str">
        <v/>
      </c>
      <c r="B70" s="4" t="str">
        <v/>
      </c>
    </row>
    <row r="71" spans="1:2" s="3" customFormat="1" x14ac:dyDescent="0.2">
      <c r="A71" s="4" t="str">
        <v/>
      </c>
      <c r="B71" s="4" t="str">
        <v/>
      </c>
    </row>
    <row r="72" spans="1:2" s="3" customFormat="1" x14ac:dyDescent="0.2">
      <c r="A72" s="4" t="str">
        <v/>
      </c>
      <c r="B72" s="4" t="str">
        <v/>
      </c>
    </row>
    <row r="73" spans="1:2" s="3" customFormat="1" x14ac:dyDescent="0.2">
      <c r="A73" s="4" t="str">
        <v/>
      </c>
      <c r="B73" s="4" t="str">
        <v/>
      </c>
    </row>
    <row r="74" spans="1:2" s="3" customFormat="1" x14ac:dyDescent="0.2">
      <c r="A74" s="4" t="str">
        <v/>
      </c>
      <c r="B74" s="4" t="str">
        <v/>
      </c>
    </row>
    <row r="75" spans="1:2" s="3" customFormat="1" x14ac:dyDescent="0.2">
      <c r="A75" s="4" t="str">
        <v/>
      </c>
      <c r="B75" s="4" t="str">
        <v/>
      </c>
    </row>
    <row r="76" spans="1:2" s="3" customFormat="1" x14ac:dyDescent="0.2">
      <c r="A76" s="4" t="str">
        <v/>
      </c>
      <c r="B76" s="4" t="str">
        <v/>
      </c>
    </row>
    <row r="77" spans="1:2" s="3" customFormat="1" x14ac:dyDescent="0.2">
      <c r="A77" s="4" t="str">
        <v/>
      </c>
      <c r="B77" s="4" t="str">
        <v/>
      </c>
    </row>
    <row r="78" spans="1:2" s="3" customFormat="1" x14ac:dyDescent="0.2">
      <c r="A78" s="4" t="str">
        <v/>
      </c>
      <c r="B78" s="4" t="str">
        <v/>
      </c>
    </row>
    <row r="79" spans="1:2" s="3" customFormat="1" x14ac:dyDescent="0.2">
      <c r="A79" s="4" t="str">
        <v/>
      </c>
      <c r="B79" s="4" t="str">
        <v/>
      </c>
    </row>
    <row r="80" spans="1:2" s="3" customFormat="1" x14ac:dyDescent="0.2">
      <c r="A80" s="4" t="str">
        <v/>
      </c>
      <c r="B80" s="4" t="str">
        <v/>
      </c>
    </row>
    <row r="81" spans="1:2" s="3" customFormat="1" x14ac:dyDescent="0.2">
      <c r="A81" s="4" t="str">
        <v/>
      </c>
      <c r="B81" s="4" t="str">
        <v/>
      </c>
    </row>
    <row r="82" spans="1:2" s="3" customFormat="1" x14ac:dyDescent="0.2">
      <c r="A82" s="4" t="str">
        <v/>
      </c>
      <c r="B82" s="4" t="str">
        <v/>
      </c>
    </row>
    <row r="83" spans="1:2" s="3" customFormat="1" x14ac:dyDescent="0.2">
      <c r="A83" s="4" t="str">
        <v/>
      </c>
      <c r="B83" s="4" t="str">
        <v/>
      </c>
    </row>
    <row r="84" spans="1:2" s="3" customFormat="1" x14ac:dyDescent="0.2">
      <c r="A84" s="4" t="str">
        <v/>
      </c>
      <c r="B84" s="4" t="str">
        <v/>
      </c>
    </row>
    <row r="85" spans="1:2" s="3" customFormat="1" x14ac:dyDescent="0.2">
      <c r="A85" s="4" t="str">
        <v/>
      </c>
      <c r="B85" s="4" t="str">
        <v/>
      </c>
    </row>
    <row r="86" spans="1:2" s="3" customFormat="1" x14ac:dyDescent="0.2">
      <c r="A86" s="4" t="str">
        <v/>
      </c>
      <c r="B86" s="4" t="str">
        <v/>
      </c>
    </row>
    <row r="87" spans="1:2" s="3" customFormat="1" x14ac:dyDescent="0.2">
      <c r="A87" s="4" t="str">
        <v/>
      </c>
      <c r="B87" s="4" t="str">
        <v/>
      </c>
    </row>
    <row r="88" spans="1:2" s="3" customFormat="1" x14ac:dyDescent="0.2">
      <c r="A88" s="4" t="str">
        <v/>
      </c>
      <c r="B88" s="4" t="str">
        <v/>
      </c>
    </row>
    <row r="89" spans="1:2" s="3" customFormat="1" x14ac:dyDescent="0.2">
      <c r="A89" s="4" t="str">
        <v/>
      </c>
      <c r="B89" s="4" t="str">
        <v/>
      </c>
    </row>
    <row r="90" spans="1:2" s="3" customFormat="1" x14ac:dyDescent="0.2">
      <c r="A90" s="4" t="str">
        <v/>
      </c>
      <c r="B90" s="4" t="str">
        <v/>
      </c>
    </row>
    <row r="91" spans="1:2" s="3" customFormat="1" x14ac:dyDescent="0.2">
      <c r="A91" s="4" t="str">
        <v/>
      </c>
      <c r="B91" s="4" t="str">
        <v/>
      </c>
    </row>
    <row r="92" spans="1:2" s="3" customFormat="1" x14ac:dyDescent="0.2">
      <c r="A92" s="4" t="str">
        <v/>
      </c>
      <c r="B92" s="4" t="str">
        <v/>
      </c>
    </row>
    <row r="93" spans="1:2" s="3" customFormat="1" x14ac:dyDescent="0.2">
      <c r="A93" s="4" t="str">
        <v/>
      </c>
      <c r="B93" s="4" t="str">
        <v/>
      </c>
    </row>
    <row r="94" spans="1:2" s="3" customFormat="1" x14ac:dyDescent="0.2">
      <c r="A94" s="4" t="str">
        <v/>
      </c>
      <c r="B94" s="4" t="str">
        <v/>
      </c>
    </row>
    <row r="95" spans="1:2" s="3" customFormat="1" x14ac:dyDescent="0.2">
      <c r="A95" s="4" t="str">
        <v/>
      </c>
      <c r="B95" s="4" t="str">
        <v/>
      </c>
    </row>
    <row r="96" spans="1:2" s="3" customFormat="1" x14ac:dyDescent="0.2">
      <c r="A96" s="4" t="str">
        <v/>
      </c>
      <c r="B96" s="4" t="str">
        <v/>
      </c>
    </row>
    <row r="97" spans="1:2" s="3" customFormat="1" x14ac:dyDescent="0.2">
      <c r="A97" s="4" t="str">
        <v/>
      </c>
      <c r="B97" s="4" t="str">
        <v/>
      </c>
    </row>
    <row r="98" spans="1:2" s="3" customFormat="1" x14ac:dyDescent="0.2">
      <c r="A98" s="4" t="str">
        <v/>
      </c>
      <c r="B98" s="4" t="str">
        <v/>
      </c>
    </row>
    <row r="99" spans="1:2" s="3" customFormat="1" x14ac:dyDescent="0.2">
      <c r="A99" s="4" t="str">
        <v/>
      </c>
      <c r="B99" s="4" t="str">
        <v/>
      </c>
    </row>
    <row r="100" spans="1:2" s="3" customFormat="1" x14ac:dyDescent="0.2">
      <c r="A100" s="4" t="str">
        <v/>
      </c>
      <c r="B100" s="4" t="str">
        <v/>
      </c>
    </row>
    <row r="101" spans="1:2" s="3" customFormat="1" x14ac:dyDescent="0.2"/>
    <row r="102" spans="1:2" s="3" customFormat="1" x14ac:dyDescent="0.2"/>
    <row r="103" spans="1:2" s="3" customFormat="1" x14ac:dyDescent="0.2"/>
    <row r="104" spans="1:2" s="3" customFormat="1" x14ac:dyDescent="0.2"/>
    <row r="105" spans="1:2" s="3" customFormat="1" x14ac:dyDescent="0.2"/>
    <row r="106" spans="1:2" s="3" customFormat="1" x14ac:dyDescent="0.2"/>
    <row r="107" spans="1:2" s="3" customFormat="1" x14ac:dyDescent="0.2"/>
    <row r="108" spans="1:2" s="3" customFormat="1" x14ac:dyDescent="0.2"/>
    <row r="109" spans="1:2" s="3" customFormat="1" x14ac:dyDescent="0.2"/>
    <row r="110" spans="1:2" s="3" customFormat="1" x14ac:dyDescent="0.2"/>
    <row r="111" spans="1:2" s="3" customFormat="1" x14ac:dyDescent="0.2"/>
    <row r="112" spans="1:2"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1:B1">
    <cfRule type="notContainsErrors" dxfId="6" priority="1">
      <formula>NOT(ISERROR(A1))</formula>
    </cfRule>
  </conditionalFormatting>
  <conditionalFormatting sqref="A2:P3">
    <cfRule type="notContainsErrors" dxfId="5" priority="5">
      <formula>NOT(ISERROR(A2))</formula>
    </cfRule>
  </conditionalFormatting>
  <conditionalFormatting sqref="A4:P4">
    <cfRule type="notContainsErrors" dxfId="4" priority="4">
      <formula>NOT(ISERROR(A4))</formula>
    </cfRule>
  </conditionalFormatting>
  <conditionalFormatting sqref="D1">
    <cfRule type="notContainsErrors" dxfId="3" priority="3">
      <formula>NOT(ISERROR(D1))</formula>
    </cfRule>
  </conditionalFormatting>
  <dataValidations count="4">
    <dataValidation type="list" allowBlank="1" showInputMessage="1" showErrorMessage="1" sqref="C5:C1048576" xr:uid="{00000000-0002-0000-0D00-000000000000}">
      <formula1>"raw_counts,nomalised,log1p,scaled,imputed,pseudobulk"</formula1>
    </dataValidation>
    <dataValidation type="list" allowBlank="1" showInputMessage="1" showErrorMessage="1" sqref="F5:F1048576" xr:uid="{00000000-0002-0000-0D00-000001000000}">
      <formula1>"Library Size Normalisation,Log Normalisation,SCTransform,scran,SCNorm"</formula1>
    </dataValidation>
    <dataValidation type="list" allowBlank="1" showInputMessage="1" showErrorMessage="1" sqref="H5:H1048576" xr:uid="{00000000-0002-0000-0D00-000002000000}">
      <formula1>"t-SNE,UMAP,Diffusion Map,PCA,ICA,NMF"</formula1>
    </dataValidation>
    <dataValidation type="list" allowBlank="1" showInputMessage="1" showErrorMessage="1" sqref="L5:L1048576" xr:uid="{00000000-0002-0000-0D00-000003000000}">
      <formula1>"euclidean,manhatten,cosine,jaccard,hamming,mehalanobis"</formula1>
    </dataValidation>
  </dataValidations>
  <hyperlinks>
    <hyperlink ref="D3" r:id="rId1"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004"/>
  <sheetViews>
    <sheetView topLeftCell="D1" workbookViewId="0">
      <selection activeCell="F5" sqref="F5"/>
    </sheetView>
  </sheetViews>
  <sheetFormatPr baseColWidth="10" defaultColWidth="8.83203125" defaultRowHeight="15" x14ac:dyDescent="0.2"/>
  <cols>
    <col min="1" max="1" width="47.6640625" style="1" customWidth="1"/>
    <col min="2" max="2" width="61.6640625" style="1" customWidth="1"/>
    <col min="3" max="3" width="56.6640625" style="1" customWidth="1"/>
    <col min="4" max="4" width="70.6640625" style="1" customWidth="1"/>
    <col min="5" max="5" width="25.6640625" style="1" customWidth="1"/>
    <col min="6" max="6" width="37.6640625" style="1" customWidth="1"/>
    <col min="7" max="8" width="54.6640625" style="1" customWidth="1"/>
    <col min="9" max="9" width="55.6640625" style="1" customWidth="1"/>
    <col min="10" max="10" width="34.6640625" style="1" customWidth="1"/>
    <col min="11" max="11" width="51.6640625" style="1" customWidth="1"/>
  </cols>
  <sheetData>
    <row r="1" spans="1:11" ht="16" x14ac:dyDescent="0.2">
      <c r="A1" s="1" t="s">
        <v>0</v>
      </c>
      <c r="B1" s="1" t="s">
        <v>496</v>
      </c>
      <c r="C1" s="1" t="s">
        <v>126</v>
      </c>
      <c r="D1" s="1" t="s">
        <v>519</v>
      </c>
      <c r="E1" s="1" t="s">
        <v>561</v>
      </c>
      <c r="F1" s="1" t="s">
        <v>564</v>
      </c>
      <c r="G1" s="1" t="s">
        <v>567</v>
      </c>
      <c r="H1" s="1" t="s">
        <v>570</v>
      </c>
      <c r="I1" s="1" t="s">
        <v>572</v>
      </c>
      <c r="J1" s="1" t="s">
        <v>574</v>
      </c>
      <c r="K1" s="1" t="s">
        <v>576</v>
      </c>
    </row>
    <row r="2" spans="1:11" ht="16" x14ac:dyDescent="0.2">
      <c r="A2" s="1" t="s">
        <v>1</v>
      </c>
      <c r="B2" s="1" t="s">
        <v>558</v>
      </c>
      <c r="C2" s="1" t="s">
        <v>560</v>
      </c>
      <c r="D2" s="1" t="s">
        <v>520</v>
      </c>
      <c r="E2" s="1" t="s">
        <v>562</v>
      </c>
      <c r="F2" s="1" t="s">
        <v>565</v>
      </c>
      <c r="G2" s="1" t="s">
        <v>568</v>
      </c>
      <c r="H2" s="1" t="s">
        <v>571</v>
      </c>
      <c r="I2" s="1" t="s">
        <v>573</v>
      </c>
      <c r="J2" s="1" t="s">
        <v>575</v>
      </c>
      <c r="K2" s="1" t="s">
        <v>577</v>
      </c>
    </row>
    <row r="3" spans="1:11" ht="16" x14ac:dyDescent="0.2">
      <c r="A3" s="1" t="s">
        <v>2</v>
      </c>
      <c r="B3" s="1" t="s">
        <v>559</v>
      </c>
      <c r="C3" s="1" t="s">
        <v>128</v>
      </c>
      <c r="D3" s="1" t="s">
        <v>521</v>
      </c>
      <c r="E3" s="1" t="s">
        <v>563</v>
      </c>
      <c r="F3" s="1" t="s">
        <v>566</v>
      </c>
      <c r="G3" s="1" t="s">
        <v>569</v>
      </c>
      <c r="H3" s="1">
        <v>4</v>
      </c>
      <c r="I3" s="1">
        <v>50</v>
      </c>
      <c r="J3" s="1">
        <v>90</v>
      </c>
      <c r="K3" s="1" t="s">
        <v>578</v>
      </c>
    </row>
    <row r="4" spans="1:11" x14ac:dyDescent="0.2">
      <c r="A4" s="2" t="s">
        <v>18</v>
      </c>
    </row>
    <row r="5" spans="1:11" s="3" customFormat="1" ht="32" x14ac:dyDescent="0.2">
      <c r="A5" s="4" t="str">
        <f t="array" ref="A5:A100">IF(ISBLANK(C5:C100)*ISBLANK(D5:D100)*ISBLANK(E5:E100)*ISBLANK(F5:F100), "", IF(study!$A$5 &lt;&gt; "", study!$A$5, "" ))</f>
        <v>STUDY004</v>
      </c>
      <c r="B5" s="4" t="str">
        <f t="array" ref="B5:B100">IF(ISBLANK(C5:C100)*ISBLANK(D5:D100)*ISBLANK(E5:E100)*ISBLANK(F5:F100), "", CONCATENATE("EXPFILE", TEXT(ROW()-4,"000")))</f>
        <v>EXPFILE001</v>
      </c>
      <c r="C5" s="3" t="s">
        <v>128</v>
      </c>
      <c r="D5" s="3" t="s">
        <v>521</v>
      </c>
      <c r="E5" s="3" t="s">
        <v>598</v>
      </c>
      <c r="F5" s="3" t="s">
        <v>601</v>
      </c>
      <c r="G5" s="3" t="s">
        <v>599</v>
      </c>
      <c r="H5" s="3">
        <v>4</v>
      </c>
      <c r="I5" s="3">
        <v>50</v>
      </c>
      <c r="J5" s="3">
        <v>90</v>
      </c>
      <c r="K5" s="3" t="s">
        <v>578</v>
      </c>
    </row>
    <row r="6" spans="1:11" s="3" customFormat="1" x14ac:dyDescent="0.2">
      <c r="A6" s="4" t="str">
        <v/>
      </c>
      <c r="B6" s="4" t="str">
        <v/>
      </c>
    </row>
    <row r="7" spans="1:11" s="3" customFormat="1" x14ac:dyDescent="0.2">
      <c r="A7" s="4" t="str">
        <v/>
      </c>
      <c r="B7" s="4" t="str">
        <v/>
      </c>
    </row>
    <row r="8" spans="1:11" s="3" customFormat="1" x14ac:dyDescent="0.2">
      <c r="A8" s="4" t="str">
        <v/>
      </c>
      <c r="B8" s="4" t="str">
        <v/>
      </c>
    </row>
    <row r="9" spans="1:11" s="3" customFormat="1" x14ac:dyDescent="0.2">
      <c r="A9" s="4" t="str">
        <v/>
      </c>
      <c r="B9" s="4" t="str">
        <v/>
      </c>
    </row>
    <row r="10" spans="1:11" s="3" customFormat="1" x14ac:dyDescent="0.2">
      <c r="A10" s="4" t="str">
        <v/>
      </c>
      <c r="B10" s="4" t="str">
        <v/>
      </c>
    </row>
    <row r="11" spans="1:11" s="3" customFormat="1" x14ac:dyDescent="0.2">
      <c r="A11" s="4" t="str">
        <v/>
      </c>
      <c r="B11" s="4" t="str">
        <v/>
      </c>
    </row>
    <row r="12" spans="1:11" s="3" customFormat="1" x14ac:dyDescent="0.2">
      <c r="A12" s="4" t="str">
        <v/>
      </c>
      <c r="B12" s="4" t="str">
        <v/>
      </c>
    </row>
    <row r="13" spans="1:11" s="3" customFormat="1" x14ac:dyDescent="0.2">
      <c r="A13" s="4" t="str">
        <v/>
      </c>
      <c r="B13" s="4" t="str">
        <v/>
      </c>
    </row>
    <row r="14" spans="1:11" s="3" customFormat="1" x14ac:dyDescent="0.2">
      <c r="A14" s="4" t="str">
        <v/>
      </c>
      <c r="B14" s="4" t="str">
        <v/>
      </c>
    </row>
    <row r="15" spans="1:11" s="3" customFormat="1" x14ac:dyDescent="0.2">
      <c r="A15" s="4" t="str">
        <v/>
      </c>
      <c r="B15" s="4" t="str">
        <v/>
      </c>
    </row>
    <row r="16" spans="1:11" s="3" customFormat="1" x14ac:dyDescent="0.2">
      <c r="A16" s="4" t="str">
        <v/>
      </c>
      <c r="B16" s="4" t="str">
        <v/>
      </c>
    </row>
    <row r="17" spans="1:2" s="3" customFormat="1" x14ac:dyDescent="0.2">
      <c r="A17" s="4" t="str">
        <v/>
      </c>
      <c r="B17" s="4" t="str">
        <v/>
      </c>
    </row>
    <row r="18" spans="1:2" s="3" customFormat="1" x14ac:dyDescent="0.2">
      <c r="A18" s="4" t="str">
        <v/>
      </c>
      <c r="B18" s="4" t="str">
        <v/>
      </c>
    </row>
    <row r="19" spans="1:2" s="3" customFormat="1" x14ac:dyDescent="0.2">
      <c r="A19" s="4" t="str">
        <v/>
      </c>
      <c r="B19" s="4" t="str">
        <v/>
      </c>
    </row>
    <row r="20" spans="1:2" s="3" customFormat="1" x14ac:dyDescent="0.2">
      <c r="A20" s="4" t="str">
        <v/>
      </c>
      <c r="B20" s="4" t="str">
        <v/>
      </c>
    </row>
    <row r="21" spans="1:2" s="3" customFormat="1" x14ac:dyDescent="0.2">
      <c r="A21" s="4" t="str">
        <v/>
      </c>
      <c r="B21" s="4" t="str">
        <v/>
      </c>
    </row>
    <row r="22" spans="1:2" s="3" customFormat="1" x14ac:dyDescent="0.2">
      <c r="A22" s="4" t="str">
        <v/>
      </c>
      <c r="B22" s="4" t="str">
        <v/>
      </c>
    </row>
    <row r="23" spans="1:2" s="3" customFormat="1" x14ac:dyDescent="0.2">
      <c r="A23" s="4" t="str">
        <v/>
      </c>
      <c r="B23" s="4" t="str">
        <v/>
      </c>
    </row>
    <row r="24" spans="1:2" s="3" customFormat="1" x14ac:dyDescent="0.2">
      <c r="A24" s="4" t="str">
        <v/>
      </c>
      <c r="B24" s="4" t="str">
        <v/>
      </c>
    </row>
    <row r="25" spans="1:2" s="3" customFormat="1" x14ac:dyDescent="0.2">
      <c r="A25" s="4" t="str">
        <v/>
      </c>
      <c r="B25" s="4" t="str">
        <v/>
      </c>
    </row>
    <row r="26" spans="1:2" s="3" customFormat="1" x14ac:dyDescent="0.2">
      <c r="A26" s="4" t="str">
        <v/>
      </c>
      <c r="B26" s="4" t="str">
        <v/>
      </c>
    </row>
    <row r="27" spans="1:2" s="3" customFormat="1" x14ac:dyDescent="0.2">
      <c r="A27" s="4" t="str">
        <v/>
      </c>
      <c r="B27" s="4" t="str">
        <v/>
      </c>
    </row>
    <row r="28" spans="1:2" s="3" customFormat="1" x14ac:dyDescent="0.2">
      <c r="A28" s="4" t="str">
        <v/>
      </c>
      <c r="B28" s="4" t="str">
        <v/>
      </c>
    </row>
    <row r="29" spans="1:2" s="3" customFormat="1" x14ac:dyDescent="0.2">
      <c r="A29" s="4" t="str">
        <v/>
      </c>
      <c r="B29" s="4" t="str">
        <v/>
      </c>
    </row>
    <row r="30" spans="1:2" s="3" customFormat="1" x14ac:dyDescent="0.2">
      <c r="A30" s="4" t="str">
        <v/>
      </c>
      <c r="B30" s="4" t="str">
        <v/>
      </c>
    </row>
    <row r="31" spans="1:2" s="3" customFormat="1" x14ac:dyDescent="0.2">
      <c r="A31" s="4" t="str">
        <v/>
      </c>
      <c r="B31" s="4" t="str">
        <v/>
      </c>
    </row>
    <row r="32" spans="1:2" s="3" customFormat="1" x14ac:dyDescent="0.2">
      <c r="A32" s="4" t="str">
        <v/>
      </c>
      <c r="B32" s="4" t="str">
        <v/>
      </c>
    </row>
    <row r="33" spans="1:2" s="3" customFormat="1" x14ac:dyDescent="0.2">
      <c r="A33" s="4" t="str">
        <v/>
      </c>
      <c r="B33" s="4" t="str">
        <v/>
      </c>
    </row>
    <row r="34" spans="1:2" s="3" customFormat="1" x14ac:dyDescent="0.2">
      <c r="A34" s="4" t="str">
        <v/>
      </c>
      <c r="B34" s="4" t="str">
        <v/>
      </c>
    </row>
    <row r="35" spans="1:2" s="3" customFormat="1" x14ac:dyDescent="0.2">
      <c r="A35" s="4" t="str">
        <v/>
      </c>
      <c r="B35" s="4" t="str">
        <v/>
      </c>
    </row>
    <row r="36" spans="1:2" s="3" customFormat="1" x14ac:dyDescent="0.2">
      <c r="A36" s="4" t="str">
        <v/>
      </c>
      <c r="B36" s="4" t="str">
        <v/>
      </c>
    </row>
    <row r="37" spans="1:2" s="3" customFormat="1" x14ac:dyDescent="0.2">
      <c r="A37" s="4" t="str">
        <v/>
      </c>
      <c r="B37" s="4" t="str">
        <v/>
      </c>
    </row>
    <row r="38" spans="1:2" s="3" customFormat="1" x14ac:dyDescent="0.2">
      <c r="A38" s="4" t="str">
        <v/>
      </c>
      <c r="B38" s="4" t="str">
        <v/>
      </c>
    </row>
    <row r="39" spans="1:2" s="3" customFormat="1" x14ac:dyDescent="0.2">
      <c r="A39" s="4" t="str">
        <v/>
      </c>
      <c r="B39" s="4" t="str">
        <v/>
      </c>
    </row>
    <row r="40" spans="1:2" s="3" customFormat="1" x14ac:dyDescent="0.2">
      <c r="A40" s="4" t="str">
        <v/>
      </c>
      <c r="B40" s="4" t="str">
        <v/>
      </c>
    </row>
    <row r="41" spans="1:2" s="3" customFormat="1" x14ac:dyDescent="0.2">
      <c r="A41" s="4" t="str">
        <v/>
      </c>
      <c r="B41" s="4" t="str">
        <v/>
      </c>
    </row>
    <row r="42" spans="1:2" s="3" customFormat="1" x14ac:dyDescent="0.2">
      <c r="A42" s="4" t="str">
        <v/>
      </c>
      <c r="B42" s="4" t="str">
        <v/>
      </c>
    </row>
    <row r="43" spans="1:2" s="3" customFormat="1" x14ac:dyDescent="0.2">
      <c r="A43" s="4" t="str">
        <v/>
      </c>
      <c r="B43" s="4" t="str">
        <v/>
      </c>
    </row>
    <row r="44" spans="1:2" s="3" customFormat="1" x14ac:dyDescent="0.2">
      <c r="A44" s="4" t="str">
        <v/>
      </c>
      <c r="B44" s="4" t="str">
        <v/>
      </c>
    </row>
    <row r="45" spans="1:2" s="3" customFormat="1" x14ac:dyDescent="0.2">
      <c r="A45" s="4" t="str">
        <v/>
      </c>
      <c r="B45" s="4" t="str">
        <v/>
      </c>
    </row>
    <row r="46" spans="1:2" s="3" customFormat="1" x14ac:dyDescent="0.2">
      <c r="A46" s="4" t="str">
        <v/>
      </c>
      <c r="B46" s="4" t="str">
        <v/>
      </c>
    </row>
    <row r="47" spans="1:2" s="3" customFormat="1" x14ac:dyDescent="0.2">
      <c r="A47" s="4" t="str">
        <v/>
      </c>
      <c r="B47" s="4" t="str">
        <v/>
      </c>
    </row>
    <row r="48" spans="1:2" s="3" customFormat="1" x14ac:dyDescent="0.2">
      <c r="A48" s="4" t="str">
        <v/>
      </c>
      <c r="B48" s="4" t="str">
        <v/>
      </c>
    </row>
    <row r="49" spans="1:2" s="3" customFormat="1" x14ac:dyDescent="0.2">
      <c r="A49" s="4" t="str">
        <v/>
      </c>
      <c r="B49" s="4" t="str">
        <v/>
      </c>
    </row>
    <row r="50" spans="1:2" s="3" customFormat="1" x14ac:dyDescent="0.2">
      <c r="A50" s="4" t="str">
        <v/>
      </c>
      <c r="B50" s="4" t="str">
        <v/>
      </c>
    </row>
    <row r="51" spans="1:2" s="3" customFormat="1" x14ac:dyDescent="0.2">
      <c r="A51" s="4" t="str">
        <v/>
      </c>
      <c r="B51" s="4" t="str">
        <v/>
      </c>
    </row>
    <row r="52" spans="1:2" s="3" customFormat="1" x14ac:dyDescent="0.2">
      <c r="A52" s="4" t="str">
        <v/>
      </c>
      <c r="B52" s="4" t="str">
        <v/>
      </c>
    </row>
    <row r="53" spans="1:2" s="3" customFormat="1" x14ac:dyDescent="0.2">
      <c r="A53" s="4" t="str">
        <v/>
      </c>
      <c r="B53" s="4" t="str">
        <v/>
      </c>
    </row>
    <row r="54" spans="1:2" s="3" customFormat="1" x14ac:dyDescent="0.2">
      <c r="A54" s="4" t="str">
        <v/>
      </c>
      <c r="B54" s="4" t="str">
        <v/>
      </c>
    </row>
    <row r="55" spans="1:2" s="3" customFormat="1" x14ac:dyDescent="0.2">
      <c r="A55" s="4" t="str">
        <v/>
      </c>
      <c r="B55" s="4" t="str">
        <v/>
      </c>
    </row>
    <row r="56" spans="1:2" s="3" customFormat="1" x14ac:dyDescent="0.2">
      <c r="A56" s="4" t="str">
        <v/>
      </c>
      <c r="B56" s="4" t="str">
        <v/>
      </c>
    </row>
    <row r="57" spans="1:2" s="3" customFormat="1" x14ac:dyDescent="0.2">
      <c r="A57" s="4" t="str">
        <v/>
      </c>
      <c r="B57" s="4" t="str">
        <v/>
      </c>
    </row>
    <row r="58" spans="1:2" s="3" customFormat="1" x14ac:dyDescent="0.2">
      <c r="A58" s="4" t="str">
        <v/>
      </c>
      <c r="B58" s="4" t="str">
        <v/>
      </c>
    </row>
    <row r="59" spans="1:2" s="3" customFormat="1" x14ac:dyDescent="0.2">
      <c r="A59" s="4" t="str">
        <v/>
      </c>
      <c r="B59" s="4" t="str">
        <v/>
      </c>
    </row>
    <row r="60" spans="1:2" s="3" customFormat="1" x14ac:dyDescent="0.2">
      <c r="A60" s="4" t="str">
        <v/>
      </c>
      <c r="B60" s="4" t="str">
        <v/>
      </c>
    </row>
    <row r="61" spans="1:2" s="3" customFormat="1" x14ac:dyDescent="0.2">
      <c r="A61" s="4" t="str">
        <v/>
      </c>
      <c r="B61" s="4" t="str">
        <v/>
      </c>
    </row>
    <row r="62" spans="1:2" s="3" customFormat="1" x14ac:dyDescent="0.2">
      <c r="A62" s="4" t="str">
        <v/>
      </c>
      <c r="B62" s="4" t="str">
        <v/>
      </c>
    </row>
    <row r="63" spans="1:2" s="3" customFormat="1" x14ac:dyDescent="0.2">
      <c r="A63" s="4" t="str">
        <v/>
      </c>
      <c r="B63" s="4" t="str">
        <v/>
      </c>
    </row>
    <row r="64" spans="1:2" s="3" customFormat="1" x14ac:dyDescent="0.2">
      <c r="A64" s="4" t="str">
        <v/>
      </c>
      <c r="B64" s="4" t="str">
        <v/>
      </c>
    </row>
    <row r="65" spans="1:2" s="3" customFormat="1" x14ac:dyDescent="0.2">
      <c r="A65" s="4" t="str">
        <v/>
      </c>
      <c r="B65" s="4" t="str">
        <v/>
      </c>
    </row>
    <row r="66" spans="1:2" s="3" customFormat="1" x14ac:dyDescent="0.2">
      <c r="A66" s="4" t="str">
        <v/>
      </c>
      <c r="B66" s="4" t="str">
        <v/>
      </c>
    </row>
    <row r="67" spans="1:2" s="3" customFormat="1" x14ac:dyDescent="0.2">
      <c r="A67" s="4" t="str">
        <v/>
      </c>
      <c r="B67" s="4" t="str">
        <v/>
      </c>
    </row>
    <row r="68" spans="1:2" s="3" customFormat="1" x14ac:dyDescent="0.2">
      <c r="A68" s="4" t="str">
        <v/>
      </c>
      <c r="B68" s="4" t="str">
        <v/>
      </c>
    </row>
    <row r="69" spans="1:2" s="3" customFormat="1" x14ac:dyDescent="0.2">
      <c r="A69" s="4" t="str">
        <v/>
      </c>
      <c r="B69" s="4" t="str">
        <v/>
      </c>
    </row>
    <row r="70" spans="1:2" s="3" customFormat="1" x14ac:dyDescent="0.2">
      <c r="A70" s="4" t="str">
        <v/>
      </c>
      <c r="B70" s="4" t="str">
        <v/>
      </c>
    </row>
    <row r="71" spans="1:2" s="3" customFormat="1" x14ac:dyDescent="0.2">
      <c r="A71" s="4" t="str">
        <v/>
      </c>
      <c r="B71" s="4" t="str">
        <v/>
      </c>
    </row>
    <row r="72" spans="1:2" s="3" customFormat="1" x14ac:dyDescent="0.2">
      <c r="A72" s="4" t="str">
        <v/>
      </c>
      <c r="B72" s="4" t="str">
        <v/>
      </c>
    </row>
    <row r="73" spans="1:2" s="3" customFormat="1" x14ac:dyDescent="0.2">
      <c r="A73" s="4" t="str">
        <v/>
      </c>
      <c r="B73" s="4" t="str">
        <v/>
      </c>
    </row>
    <row r="74" spans="1:2" s="3" customFormat="1" x14ac:dyDescent="0.2">
      <c r="A74" s="4" t="str">
        <v/>
      </c>
      <c r="B74" s="4" t="str">
        <v/>
      </c>
    </row>
    <row r="75" spans="1:2" s="3" customFormat="1" x14ac:dyDescent="0.2">
      <c r="A75" s="4" t="str">
        <v/>
      </c>
      <c r="B75" s="4" t="str">
        <v/>
      </c>
    </row>
    <row r="76" spans="1:2" s="3" customFormat="1" x14ac:dyDescent="0.2">
      <c r="A76" s="4" t="str">
        <v/>
      </c>
      <c r="B76" s="4" t="str">
        <v/>
      </c>
    </row>
    <row r="77" spans="1:2" s="3" customFormat="1" x14ac:dyDescent="0.2">
      <c r="A77" s="4" t="str">
        <v/>
      </c>
      <c r="B77" s="4" t="str">
        <v/>
      </c>
    </row>
    <row r="78" spans="1:2" s="3" customFormat="1" x14ac:dyDescent="0.2">
      <c r="A78" s="4" t="str">
        <v/>
      </c>
      <c r="B78" s="4" t="str">
        <v/>
      </c>
    </row>
    <row r="79" spans="1:2" s="3" customFormat="1" x14ac:dyDescent="0.2">
      <c r="A79" s="4" t="str">
        <v/>
      </c>
      <c r="B79" s="4" t="str">
        <v/>
      </c>
    </row>
    <row r="80" spans="1:2" s="3" customFormat="1" x14ac:dyDescent="0.2">
      <c r="A80" s="4" t="str">
        <v/>
      </c>
      <c r="B80" s="4" t="str">
        <v/>
      </c>
    </row>
    <row r="81" spans="1:2" s="3" customFormat="1" x14ac:dyDescent="0.2">
      <c r="A81" s="4" t="str">
        <v/>
      </c>
      <c r="B81" s="4" t="str">
        <v/>
      </c>
    </row>
    <row r="82" spans="1:2" s="3" customFormat="1" x14ac:dyDescent="0.2">
      <c r="A82" s="4" t="str">
        <v/>
      </c>
      <c r="B82" s="4" t="str">
        <v/>
      </c>
    </row>
    <row r="83" spans="1:2" s="3" customFormat="1" x14ac:dyDescent="0.2">
      <c r="A83" s="4" t="str">
        <v/>
      </c>
      <c r="B83" s="4" t="str">
        <v/>
      </c>
    </row>
    <row r="84" spans="1:2" s="3" customFormat="1" x14ac:dyDescent="0.2">
      <c r="A84" s="4" t="str">
        <v/>
      </c>
      <c r="B84" s="4" t="str">
        <v/>
      </c>
    </row>
    <row r="85" spans="1:2" s="3" customFormat="1" x14ac:dyDescent="0.2">
      <c r="A85" s="4" t="str">
        <v/>
      </c>
      <c r="B85" s="4" t="str">
        <v/>
      </c>
    </row>
    <row r="86" spans="1:2" s="3" customFormat="1" x14ac:dyDescent="0.2">
      <c r="A86" s="4" t="str">
        <v/>
      </c>
      <c r="B86" s="4" t="str">
        <v/>
      </c>
    </row>
    <row r="87" spans="1:2" s="3" customFormat="1" x14ac:dyDescent="0.2">
      <c r="A87" s="4" t="str">
        <v/>
      </c>
      <c r="B87" s="4" t="str">
        <v/>
      </c>
    </row>
    <row r="88" spans="1:2" s="3" customFormat="1" x14ac:dyDescent="0.2">
      <c r="A88" s="4" t="str">
        <v/>
      </c>
      <c r="B88" s="4" t="str">
        <v/>
      </c>
    </row>
    <row r="89" spans="1:2" s="3" customFormat="1" x14ac:dyDescent="0.2">
      <c r="A89" s="4" t="str">
        <v/>
      </c>
      <c r="B89" s="4" t="str">
        <v/>
      </c>
    </row>
    <row r="90" spans="1:2" s="3" customFormat="1" x14ac:dyDescent="0.2">
      <c r="A90" s="4" t="str">
        <v/>
      </c>
      <c r="B90" s="4" t="str">
        <v/>
      </c>
    </row>
    <row r="91" spans="1:2" s="3" customFormat="1" x14ac:dyDescent="0.2">
      <c r="A91" s="4" t="str">
        <v/>
      </c>
      <c r="B91" s="4" t="str">
        <v/>
      </c>
    </row>
    <row r="92" spans="1:2" s="3" customFormat="1" x14ac:dyDescent="0.2">
      <c r="A92" s="4" t="str">
        <v/>
      </c>
      <c r="B92" s="4" t="str">
        <v/>
      </c>
    </row>
    <row r="93" spans="1:2" s="3" customFormat="1" x14ac:dyDescent="0.2">
      <c r="A93" s="4" t="str">
        <v/>
      </c>
      <c r="B93" s="4" t="str">
        <v/>
      </c>
    </row>
    <row r="94" spans="1:2" s="3" customFormat="1" x14ac:dyDescent="0.2">
      <c r="A94" s="4" t="str">
        <v/>
      </c>
      <c r="B94" s="4" t="str">
        <v/>
      </c>
    </row>
    <row r="95" spans="1:2" s="3" customFormat="1" x14ac:dyDescent="0.2">
      <c r="A95" s="4" t="str">
        <v/>
      </c>
      <c r="B95" s="4" t="str">
        <v/>
      </c>
    </row>
    <row r="96" spans="1:2" s="3" customFormat="1" x14ac:dyDescent="0.2">
      <c r="A96" s="4" t="str">
        <v/>
      </c>
      <c r="B96" s="4" t="str">
        <v/>
      </c>
    </row>
    <row r="97" spans="1:2" s="3" customFormat="1" x14ac:dyDescent="0.2">
      <c r="A97" s="4" t="str">
        <v/>
      </c>
      <c r="B97" s="4" t="str">
        <v/>
      </c>
    </row>
    <row r="98" spans="1:2" s="3" customFormat="1" x14ac:dyDescent="0.2">
      <c r="A98" s="4" t="str">
        <v/>
      </c>
      <c r="B98" s="4" t="str">
        <v/>
      </c>
    </row>
    <row r="99" spans="1:2" s="3" customFormat="1" x14ac:dyDescent="0.2">
      <c r="A99" s="4" t="str">
        <v/>
      </c>
      <c r="B99" s="4" t="str">
        <v/>
      </c>
    </row>
    <row r="100" spans="1:2" s="3" customFormat="1" x14ac:dyDescent="0.2">
      <c r="A100" s="4" t="str">
        <v/>
      </c>
      <c r="B100" s="4" t="str">
        <v/>
      </c>
    </row>
    <row r="101" spans="1:2" s="3" customFormat="1" x14ac:dyDescent="0.2"/>
    <row r="102" spans="1:2" s="3" customFormat="1" x14ac:dyDescent="0.2"/>
    <row r="103" spans="1:2" s="3" customFormat="1" x14ac:dyDescent="0.2"/>
    <row r="104" spans="1:2" s="3" customFormat="1" x14ac:dyDescent="0.2"/>
    <row r="105" spans="1:2" s="3" customFormat="1" x14ac:dyDescent="0.2"/>
    <row r="106" spans="1:2" s="3" customFormat="1" x14ac:dyDescent="0.2"/>
    <row r="107" spans="1:2" s="3" customFormat="1" x14ac:dyDescent="0.2"/>
    <row r="108" spans="1:2" s="3" customFormat="1" x14ac:dyDescent="0.2"/>
    <row r="109" spans="1:2" s="3" customFormat="1" x14ac:dyDescent="0.2"/>
    <row r="110" spans="1:2" s="3" customFormat="1" x14ac:dyDescent="0.2"/>
    <row r="111" spans="1:2" s="3" customFormat="1" x14ac:dyDescent="0.2"/>
    <row r="112" spans="1:2"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3" customFormat="1" x14ac:dyDescent="0.2"/>
    <row r="130" s="3" customFormat="1" x14ac:dyDescent="0.2"/>
    <row r="131" s="3" customFormat="1" x14ac:dyDescent="0.2"/>
    <row r="132" s="3" customFormat="1" x14ac:dyDescent="0.2"/>
    <row r="133" s="3" customFormat="1" x14ac:dyDescent="0.2"/>
    <row r="134" s="3" customFormat="1" x14ac:dyDescent="0.2"/>
    <row r="135" s="3" customFormat="1" x14ac:dyDescent="0.2"/>
    <row r="136" s="3" customFormat="1" x14ac:dyDescent="0.2"/>
    <row r="137" s="3" customFormat="1" x14ac:dyDescent="0.2"/>
    <row r="138" s="3" customFormat="1" x14ac:dyDescent="0.2"/>
    <row r="139" s="3" customFormat="1" x14ac:dyDescent="0.2"/>
    <row r="140" s="3" customFormat="1" x14ac:dyDescent="0.2"/>
    <row r="141" s="3" customFormat="1" x14ac:dyDescent="0.2"/>
    <row r="142" s="3" customFormat="1" x14ac:dyDescent="0.2"/>
    <row r="143" s="3" customFormat="1" x14ac:dyDescent="0.2"/>
    <row r="144" s="3" customFormat="1" x14ac:dyDescent="0.2"/>
    <row r="145" s="3" customFormat="1" x14ac:dyDescent="0.2"/>
    <row r="146" s="3" customFormat="1" x14ac:dyDescent="0.2"/>
    <row r="147" s="3" customFormat="1" x14ac:dyDescent="0.2"/>
    <row r="148" s="3" customFormat="1" x14ac:dyDescent="0.2"/>
    <row r="149" s="3" customFormat="1" x14ac:dyDescent="0.2"/>
    <row r="150" s="3" customFormat="1" x14ac:dyDescent="0.2"/>
    <row r="151" s="3" customFormat="1" x14ac:dyDescent="0.2"/>
    <row r="152" s="3" customFormat="1" x14ac:dyDescent="0.2"/>
    <row r="153" s="3" customFormat="1" x14ac:dyDescent="0.2"/>
    <row r="154" s="3" customFormat="1" x14ac:dyDescent="0.2"/>
    <row r="155" s="3" customFormat="1" x14ac:dyDescent="0.2"/>
    <row r="156" s="3" customFormat="1" x14ac:dyDescent="0.2"/>
    <row r="157" s="3" customFormat="1" x14ac:dyDescent="0.2"/>
    <row r="158" s="3" customFormat="1" x14ac:dyDescent="0.2"/>
    <row r="159" s="3" customFormat="1" x14ac:dyDescent="0.2"/>
    <row r="160" s="3" customFormat="1" x14ac:dyDescent="0.2"/>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row r="412" s="3" customFormat="1" x14ac:dyDescent="0.2"/>
    <row r="413" s="3" customFormat="1" x14ac:dyDescent="0.2"/>
    <row r="414" s="3" customFormat="1" x14ac:dyDescent="0.2"/>
    <row r="415" s="3" customFormat="1" x14ac:dyDescent="0.2"/>
    <row r="416" s="3" customFormat="1" x14ac:dyDescent="0.2"/>
    <row r="417" s="3" customFormat="1" x14ac:dyDescent="0.2"/>
    <row r="418" s="3" customFormat="1" x14ac:dyDescent="0.2"/>
    <row r="419" s="3" customFormat="1" x14ac:dyDescent="0.2"/>
    <row r="420" s="3" customFormat="1" x14ac:dyDescent="0.2"/>
    <row r="421" s="3" customFormat="1" x14ac:dyDescent="0.2"/>
    <row r="422" s="3" customFormat="1" x14ac:dyDescent="0.2"/>
    <row r="423" s="3" customFormat="1" x14ac:dyDescent="0.2"/>
    <row r="424" s="3" customFormat="1" x14ac:dyDescent="0.2"/>
    <row r="425" s="3" customFormat="1" x14ac:dyDescent="0.2"/>
    <row r="426" s="3" customFormat="1" x14ac:dyDescent="0.2"/>
    <row r="427" s="3" customFormat="1" x14ac:dyDescent="0.2"/>
    <row r="428" s="3" customFormat="1" x14ac:dyDescent="0.2"/>
    <row r="429" s="3" customFormat="1" x14ac:dyDescent="0.2"/>
    <row r="430" s="3" customFormat="1" x14ac:dyDescent="0.2"/>
    <row r="431" s="3" customFormat="1" x14ac:dyDescent="0.2"/>
    <row r="432" s="3" customFormat="1" x14ac:dyDescent="0.2"/>
    <row r="433" s="3" customFormat="1" x14ac:dyDescent="0.2"/>
    <row r="434" s="3" customFormat="1" x14ac:dyDescent="0.2"/>
    <row r="435" s="3" customFormat="1" x14ac:dyDescent="0.2"/>
    <row r="436" s="3" customFormat="1" x14ac:dyDescent="0.2"/>
    <row r="437" s="3" customFormat="1" x14ac:dyDescent="0.2"/>
    <row r="438" s="3" customFormat="1" x14ac:dyDescent="0.2"/>
    <row r="439" s="3" customFormat="1" x14ac:dyDescent="0.2"/>
    <row r="440" s="3" customFormat="1" x14ac:dyDescent="0.2"/>
    <row r="441" s="3" customFormat="1" x14ac:dyDescent="0.2"/>
    <row r="442" s="3" customFormat="1" x14ac:dyDescent="0.2"/>
    <row r="443" s="3" customFormat="1" x14ac:dyDescent="0.2"/>
    <row r="444" s="3" customFormat="1" x14ac:dyDescent="0.2"/>
    <row r="445" s="3" customFormat="1" x14ac:dyDescent="0.2"/>
    <row r="446" s="3" customFormat="1" x14ac:dyDescent="0.2"/>
    <row r="447" s="3" customFormat="1" x14ac:dyDescent="0.2"/>
    <row r="448" s="3" customFormat="1" x14ac:dyDescent="0.2"/>
    <row r="449" s="3" customFormat="1" x14ac:dyDescent="0.2"/>
    <row r="450" s="3" customFormat="1" x14ac:dyDescent="0.2"/>
    <row r="451" s="3" customFormat="1" x14ac:dyDescent="0.2"/>
    <row r="452" s="3" customFormat="1" x14ac:dyDescent="0.2"/>
    <row r="453" s="3" customFormat="1" x14ac:dyDescent="0.2"/>
    <row r="454" s="3" customFormat="1" x14ac:dyDescent="0.2"/>
    <row r="455" s="3" customFormat="1" x14ac:dyDescent="0.2"/>
    <row r="456" s="3" customFormat="1" x14ac:dyDescent="0.2"/>
    <row r="457" s="3" customFormat="1" x14ac:dyDescent="0.2"/>
    <row r="458" s="3" customFormat="1" x14ac:dyDescent="0.2"/>
    <row r="459" s="3" customFormat="1" x14ac:dyDescent="0.2"/>
    <row r="460" s="3" customFormat="1" x14ac:dyDescent="0.2"/>
    <row r="461" s="3" customFormat="1" x14ac:dyDescent="0.2"/>
    <row r="462" s="3" customFormat="1" x14ac:dyDescent="0.2"/>
    <row r="463" s="3" customFormat="1" x14ac:dyDescent="0.2"/>
    <row r="464" s="3" customFormat="1" x14ac:dyDescent="0.2"/>
    <row r="465" s="3" customFormat="1" x14ac:dyDescent="0.2"/>
    <row r="466" s="3" customFormat="1" x14ac:dyDescent="0.2"/>
    <row r="467" s="3" customFormat="1" x14ac:dyDescent="0.2"/>
    <row r="468" s="3" customFormat="1" x14ac:dyDescent="0.2"/>
    <row r="469" s="3" customFormat="1" x14ac:dyDescent="0.2"/>
    <row r="470" s="3" customFormat="1" x14ac:dyDescent="0.2"/>
    <row r="471" s="3" customFormat="1" x14ac:dyDescent="0.2"/>
    <row r="472" s="3" customFormat="1" x14ac:dyDescent="0.2"/>
    <row r="473" s="3" customFormat="1" x14ac:dyDescent="0.2"/>
    <row r="474" s="3" customFormat="1" x14ac:dyDescent="0.2"/>
    <row r="475" s="3" customFormat="1" x14ac:dyDescent="0.2"/>
    <row r="476" s="3" customFormat="1" x14ac:dyDescent="0.2"/>
    <row r="477" s="3" customFormat="1" x14ac:dyDescent="0.2"/>
    <row r="478" s="3" customFormat="1" x14ac:dyDescent="0.2"/>
    <row r="479" s="3" customFormat="1" x14ac:dyDescent="0.2"/>
    <row r="480" s="3" customFormat="1" x14ac:dyDescent="0.2"/>
    <row r="481" s="3" customFormat="1" x14ac:dyDescent="0.2"/>
    <row r="482" s="3" customFormat="1" x14ac:dyDescent="0.2"/>
    <row r="483" s="3" customFormat="1" x14ac:dyDescent="0.2"/>
    <row r="484" s="3" customFormat="1" x14ac:dyDescent="0.2"/>
    <row r="485" s="3" customFormat="1" x14ac:dyDescent="0.2"/>
    <row r="486" s="3" customFormat="1" x14ac:dyDescent="0.2"/>
    <row r="487" s="3" customFormat="1" x14ac:dyDescent="0.2"/>
    <row r="488" s="3" customFormat="1" x14ac:dyDescent="0.2"/>
    <row r="489" s="3" customFormat="1" x14ac:dyDescent="0.2"/>
    <row r="490" s="3" customFormat="1" x14ac:dyDescent="0.2"/>
    <row r="491" s="3" customFormat="1" x14ac:dyDescent="0.2"/>
    <row r="492" s="3" customFormat="1" x14ac:dyDescent="0.2"/>
    <row r="493" s="3" customFormat="1" x14ac:dyDescent="0.2"/>
    <row r="494" s="3" customFormat="1" x14ac:dyDescent="0.2"/>
    <row r="495" s="3" customFormat="1" x14ac:dyDescent="0.2"/>
    <row r="496" s="3" customFormat="1" x14ac:dyDescent="0.2"/>
    <row r="497" s="3" customFormat="1" x14ac:dyDescent="0.2"/>
    <row r="498" s="3" customFormat="1" x14ac:dyDescent="0.2"/>
    <row r="499" s="3" customFormat="1" x14ac:dyDescent="0.2"/>
    <row r="500" s="3" customFormat="1" x14ac:dyDescent="0.2"/>
    <row r="501" s="3" customFormat="1" x14ac:dyDescent="0.2"/>
    <row r="502" s="3" customFormat="1" x14ac:dyDescent="0.2"/>
    <row r="503" s="3" customFormat="1" x14ac:dyDescent="0.2"/>
    <row r="504" s="3" customFormat="1" x14ac:dyDescent="0.2"/>
    <row r="505" s="3" customFormat="1" x14ac:dyDescent="0.2"/>
    <row r="506" s="3" customFormat="1" x14ac:dyDescent="0.2"/>
    <row r="507" s="3" customFormat="1" x14ac:dyDescent="0.2"/>
    <row r="508" s="3" customFormat="1" x14ac:dyDescent="0.2"/>
    <row r="509" s="3" customFormat="1" x14ac:dyDescent="0.2"/>
    <row r="510" s="3" customFormat="1" x14ac:dyDescent="0.2"/>
    <row r="511" s="3" customFormat="1" x14ac:dyDescent="0.2"/>
    <row r="512" s="3" customFormat="1" x14ac:dyDescent="0.2"/>
    <row r="513" s="3" customFormat="1" x14ac:dyDescent="0.2"/>
    <row r="514" s="3" customFormat="1" x14ac:dyDescent="0.2"/>
    <row r="515" s="3" customFormat="1" x14ac:dyDescent="0.2"/>
    <row r="516" s="3" customFormat="1" x14ac:dyDescent="0.2"/>
    <row r="517" s="3" customFormat="1" x14ac:dyDescent="0.2"/>
    <row r="518" s="3" customFormat="1" x14ac:dyDescent="0.2"/>
    <row r="519" s="3" customFormat="1" x14ac:dyDescent="0.2"/>
    <row r="520" s="3" customFormat="1" x14ac:dyDescent="0.2"/>
    <row r="521" s="3" customFormat="1" x14ac:dyDescent="0.2"/>
    <row r="522" s="3" customFormat="1" x14ac:dyDescent="0.2"/>
    <row r="523" s="3" customFormat="1" x14ac:dyDescent="0.2"/>
    <row r="524" s="3" customFormat="1" x14ac:dyDescent="0.2"/>
    <row r="525" s="3" customFormat="1" x14ac:dyDescent="0.2"/>
    <row r="526" s="3" customFormat="1" x14ac:dyDescent="0.2"/>
    <row r="527" s="3" customFormat="1" x14ac:dyDescent="0.2"/>
    <row r="528" s="3" customFormat="1" x14ac:dyDescent="0.2"/>
    <row r="529" s="3" customFormat="1" x14ac:dyDescent="0.2"/>
    <row r="530" s="3" customFormat="1" x14ac:dyDescent="0.2"/>
    <row r="531" s="3" customFormat="1" x14ac:dyDescent="0.2"/>
    <row r="532" s="3" customFormat="1" x14ac:dyDescent="0.2"/>
    <row r="533" s="3" customFormat="1" x14ac:dyDescent="0.2"/>
    <row r="534" s="3" customFormat="1" x14ac:dyDescent="0.2"/>
    <row r="535" s="3" customFormat="1" x14ac:dyDescent="0.2"/>
    <row r="536" s="3" customFormat="1" x14ac:dyDescent="0.2"/>
    <row r="537" s="3" customFormat="1" x14ac:dyDescent="0.2"/>
    <row r="538" s="3" customFormat="1" x14ac:dyDescent="0.2"/>
    <row r="539" s="3" customFormat="1" x14ac:dyDescent="0.2"/>
    <row r="540" s="3" customFormat="1" x14ac:dyDescent="0.2"/>
    <row r="541" s="3" customFormat="1" x14ac:dyDescent="0.2"/>
    <row r="542" s="3" customFormat="1" x14ac:dyDescent="0.2"/>
    <row r="543" s="3" customFormat="1" x14ac:dyDescent="0.2"/>
    <row r="544" s="3" customFormat="1" x14ac:dyDescent="0.2"/>
    <row r="545" s="3" customFormat="1" x14ac:dyDescent="0.2"/>
    <row r="546" s="3" customFormat="1" x14ac:dyDescent="0.2"/>
    <row r="547" s="3" customFormat="1" x14ac:dyDescent="0.2"/>
    <row r="548" s="3" customFormat="1" x14ac:dyDescent="0.2"/>
    <row r="549" s="3" customFormat="1" x14ac:dyDescent="0.2"/>
    <row r="550" s="3" customFormat="1" x14ac:dyDescent="0.2"/>
    <row r="551" s="3" customFormat="1" x14ac:dyDescent="0.2"/>
    <row r="552" s="3" customFormat="1" x14ac:dyDescent="0.2"/>
    <row r="553" s="3" customFormat="1" x14ac:dyDescent="0.2"/>
    <row r="554" s="3" customFormat="1" x14ac:dyDescent="0.2"/>
    <row r="555" s="3" customFormat="1" x14ac:dyDescent="0.2"/>
    <row r="556" s="3" customFormat="1" x14ac:dyDescent="0.2"/>
    <row r="557" s="3" customFormat="1" x14ac:dyDescent="0.2"/>
    <row r="558" s="3" customFormat="1" x14ac:dyDescent="0.2"/>
    <row r="559" s="3" customFormat="1" x14ac:dyDescent="0.2"/>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2" s="3" customFormat="1" x14ac:dyDescent="0.2"/>
    <row r="623" s="3" customFormat="1" x14ac:dyDescent="0.2"/>
    <row r="624" s="3" customFormat="1" x14ac:dyDescent="0.2"/>
    <row r="625" s="3" customFormat="1" x14ac:dyDescent="0.2"/>
    <row r="626" s="3" customFormat="1" x14ac:dyDescent="0.2"/>
    <row r="627" s="3" customFormat="1" x14ac:dyDescent="0.2"/>
    <row r="628" s="3" customFormat="1" x14ac:dyDescent="0.2"/>
    <row r="629" s="3" customFormat="1" x14ac:dyDescent="0.2"/>
    <row r="630" s="3" customFormat="1" x14ac:dyDescent="0.2"/>
    <row r="631" s="3" customFormat="1" x14ac:dyDescent="0.2"/>
    <row r="632" s="3" customFormat="1" x14ac:dyDescent="0.2"/>
    <row r="633" s="3" customFormat="1" x14ac:dyDescent="0.2"/>
    <row r="634" s="3" customFormat="1" x14ac:dyDescent="0.2"/>
    <row r="635" s="3" customFormat="1" x14ac:dyDescent="0.2"/>
    <row r="636" s="3" customFormat="1" x14ac:dyDescent="0.2"/>
    <row r="637" s="3" customFormat="1" x14ac:dyDescent="0.2"/>
    <row r="638" s="3" customFormat="1" x14ac:dyDescent="0.2"/>
    <row r="639" s="3" customFormat="1" x14ac:dyDescent="0.2"/>
    <row r="640"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row r="667" s="3" customFormat="1" x14ac:dyDescent="0.2"/>
    <row r="668" s="3" customFormat="1" x14ac:dyDescent="0.2"/>
    <row r="669" s="3" customFormat="1" x14ac:dyDescent="0.2"/>
    <row r="670" s="3" customFormat="1" x14ac:dyDescent="0.2"/>
    <row r="671" s="3" customFormat="1" x14ac:dyDescent="0.2"/>
    <row r="672" s="3" customFormat="1" x14ac:dyDescent="0.2"/>
    <row r="673" s="3" customFormat="1" x14ac:dyDescent="0.2"/>
    <row r="674" s="3" customFormat="1" x14ac:dyDescent="0.2"/>
    <row r="675" s="3" customFormat="1" x14ac:dyDescent="0.2"/>
    <row r="676" s="3" customFormat="1" x14ac:dyDescent="0.2"/>
    <row r="677" s="3" customFormat="1" x14ac:dyDescent="0.2"/>
    <row r="678" s="3" customFormat="1" x14ac:dyDescent="0.2"/>
    <row r="679" s="3" customFormat="1" x14ac:dyDescent="0.2"/>
    <row r="680" s="3" customFormat="1" x14ac:dyDescent="0.2"/>
    <row r="681" s="3" customFormat="1" x14ac:dyDescent="0.2"/>
    <row r="682" s="3" customFormat="1" x14ac:dyDescent="0.2"/>
    <row r="683" s="3" customFormat="1" x14ac:dyDescent="0.2"/>
    <row r="684" s="3" customFormat="1" x14ac:dyDescent="0.2"/>
    <row r="685" s="3" customFormat="1" x14ac:dyDescent="0.2"/>
    <row r="686" s="3" customFormat="1" x14ac:dyDescent="0.2"/>
    <row r="687" s="3" customFormat="1" x14ac:dyDescent="0.2"/>
    <row r="688" s="3" customFormat="1" x14ac:dyDescent="0.2"/>
    <row r="689" s="3" customFormat="1" x14ac:dyDescent="0.2"/>
    <row r="690" s="3" customFormat="1" x14ac:dyDescent="0.2"/>
    <row r="691" s="3" customFormat="1" x14ac:dyDescent="0.2"/>
    <row r="692" s="3" customFormat="1" x14ac:dyDescent="0.2"/>
    <row r="693" s="3" customFormat="1" x14ac:dyDescent="0.2"/>
    <row r="694" s="3" customFormat="1" x14ac:dyDescent="0.2"/>
    <row r="695" s="3" customFormat="1" x14ac:dyDescent="0.2"/>
    <row r="696" s="3" customFormat="1" x14ac:dyDescent="0.2"/>
    <row r="697" s="3" customFormat="1" x14ac:dyDescent="0.2"/>
    <row r="698" s="3" customFormat="1" x14ac:dyDescent="0.2"/>
    <row r="699" s="3" customFormat="1" x14ac:dyDescent="0.2"/>
    <row r="700" s="3" customFormat="1" x14ac:dyDescent="0.2"/>
    <row r="701" s="3" customFormat="1" x14ac:dyDescent="0.2"/>
    <row r="702" s="3" customFormat="1" x14ac:dyDescent="0.2"/>
    <row r="703" s="3" customFormat="1" x14ac:dyDescent="0.2"/>
    <row r="704" s="3" customFormat="1" x14ac:dyDescent="0.2"/>
    <row r="705" s="3" customFormat="1" x14ac:dyDescent="0.2"/>
    <row r="706" s="3" customFormat="1" x14ac:dyDescent="0.2"/>
    <row r="707" s="3" customFormat="1" x14ac:dyDescent="0.2"/>
    <row r="708" s="3" customFormat="1" x14ac:dyDescent="0.2"/>
    <row r="709" s="3" customFormat="1" x14ac:dyDescent="0.2"/>
    <row r="710" s="3" customFormat="1" x14ac:dyDescent="0.2"/>
    <row r="711" s="3" customFormat="1" x14ac:dyDescent="0.2"/>
    <row r="712" s="3" customFormat="1" x14ac:dyDescent="0.2"/>
    <row r="713" s="3" customFormat="1" x14ac:dyDescent="0.2"/>
    <row r="714" s="3" customFormat="1" x14ac:dyDescent="0.2"/>
    <row r="715" s="3" customFormat="1" x14ac:dyDescent="0.2"/>
    <row r="716" s="3" customFormat="1" x14ac:dyDescent="0.2"/>
    <row r="717" s="3" customFormat="1" x14ac:dyDescent="0.2"/>
    <row r="718" s="3" customFormat="1" x14ac:dyDescent="0.2"/>
    <row r="719" s="3" customFormat="1" x14ac:dyDescent="0.2"/>
    <row r="720" s="3" customFormat="1" x14ac:dyDescent="0.2"/>
    <row r="721" s="3" customFormat="1" x14ac:dyDescent="0.2"/>
    <row r="722" s="3" customFormat="1" x14ac:dyDescent="0.2"/>
    <row r="723" s="3" customFormat="1" x14ac:dyDescent="0.2"/>
    <row r="724" s="3" customFormat="1" x14ac:dyDescent="0.2"/>
    <row r="725" s="3" customFormat="1" x14ac:dyDescent="0.2"/>
    <row r="726" s="3" customFormat="1" x14ac:dyDescent="0.2"/>
    <row r="727" s="3" customFormat="1" x14ac:dyDescent="0.2"/>
    <row r="728" s="3" customFormat="1" x14ac:dyDescent="0.2"/>
    <row r="729" s="3" customFormat="1" x14ac:dyDescent="0.2"/>
    <row r="730" s="3" customFormat="1" x14ac:dyDescent="0.2"/>
    <row r="731" s="3" customFormat="1" x14ac:dyDescent="0.2"/>
    <row r="732" s="3" customFormat="1" x14ac:dyDescent="0.2"/>
    <row r="733" s="3" customFormat="1" x14ac:dyDescent="0.2"/>
    <row r="734" s="3" customFormat="1" x14ac:dyDescent="0.2"/>
    <row r="735" s="3" customFormat="1" x14ac:dyDescent="0.2"/>
    <row r="736" s="3" customFormat="1" x14ac:dyDescent="0.2"/>
    <row r="737" s="3" customFormat="1" x14ac:dyDescent="0.2"/>
    <row r="738" s="3" customFormat="1" x14ac:dyDescent="0.2"/>
    <row r="739" s="3" customFormat="1" x14ac:dyDescent="0.2"/>
    <row r="740" s="3" customFormat="1" x14ac:dyDescent="0.2"/>
    <row r="741" s="3" customFormat="1" x14ac:dyDescent="0.2"/>
    <row r="742" s="3" customFormat="1" x14ac:dyDescent="0.2"/>
    <row r="743" s="3" customFormat="1" x14ac:dyDescent="0.2"/>
    <row r="744" s="3" customFormat="1" x14ac:dyDescent="0.2"/>
    <row r="745" s="3" customFormat="1" x14ac:dyDescent="0.2"/>
    <row r="746" s="3" customFormat="1" x14ac:dyDescent="0.2"/>
    <row r="747" s="3" customFormat="1" x14ac:dyDescent="0.2"/>
    <row r="748" s="3" customFormat="1" x14ac:dyDescent="0.2"/>
    <row r="749" s="3" customFormat="1" x14ac:dyDescent="0.2"/>
    <row r="750" s="3" customFormat="1" x14ac:dyDescent="0.2"/>
    <row r="751" s="3" customFormat="1" x14ac:dyDescent="0.2"/>
    <row r="752" s="3" customFormat="1" x14ac:dyDescent="0.2"/>
    <row r="753" s="3" customFormat="1" x14ac:dyDescent="0.2"/>
    <row r="754" s="3" customFormat="1" x14ac:dyDescent="0.2"/>
    <row r="755" s="3" customFormat="1" x14ac:dyDescent="0.2"/>
    <row r="756" s="3" customFormat="1" x14ac:dyDescent="0.2"/>
    <row r="757" s="3" customFormat="1" x14ac:dyDescent="0.2"/>
    <row r="758" s="3" customFormat="1" x14ac:dyDescent="0.2"/>
    <row r="759" s="3" customFormat="1" x14ac:dyDescent="0.2"/>
    <row r="760" s="3" customFormat="1" x14ac:dyDescent="0.2"/>
    <row r="761" s="3" customFormat="1" x14ac:dyDescent="0.2"/>
    <row r="762" s="3" customFormat="1" x14ac:dyDescent="0.2"/>
    <row r="763" s="3" customFormat="1" x14ac:dyDescent="0.2"/>
    <row r="764" s="3" customFormat="1" x14ac:dyDescent="0.2"/>
    <row r="765" s="3" customFormat="1" x14ac:dyDescent="0.2"/>
    <row r="766" s="3" customFormat="1" x14ac:dyDescent="0.2"/>
    <row r="767" s="3" customFormat="1" x14ac:dyDescent="0.2"/>
    <row r="768" s="3" customFormat="1" x14ac:dyDescent="0.2"/>
    <row r="769" s="3" customFormat="1" x14ac:dyDescent="0.2"/>
    <row r="770" s="3" customFormat="1" x14ac:dyDescent="0.2"/>
    <row r="771" s="3" customFormat="1" x14ac:dyDescent="0.2"/>
    <row r="772" s="3" customFormat="1" x14ac:dyDescent="0.2"/>
    <row r="773" s="3" customFormat="1" x14ac:dyDescent="0.2"/>
    <row r="774" s="3" customFormat="1" x14ac:dyDescent="0.2"/>
    <row r="775" s="3" customFormat="1" x14ac:dyDescent="0.2"/>
    <row r="776" s="3" customFormat="1" x14ac:dyDescent="0.2"/>
    <row r="777" s="3" customFormat="1" x14ac:dyDescent="0.2"/>
    <row r="778" s="3" customFormat="1" x14ac:dyDescent="0.2"/>
    <row r="779" s="3" customFormat="1" x14ac:dyDescent="0.2"/>
    <row r="780" s="3" customFormat="1" x14ac:dyDescent="0.2"/>
    <row r="781" s="3" customFormat="1" x14ac:dyDescent="0.2"/>
    <row r="782" s="3" customFormat="1" x14ac:dyDescent="0.2"/>
    <row r="783" s="3" customFormat="1" x14ac:dyDescent="0.2"/>
    <row r="784" s="3" customFormat="1" x14ac:dyDescent="0.2"/>
    <row r="785" s="3" customFormat="1" x14ac:dyDescent="0.2"/>
    <row r="786" s="3" customFormat="1" x14ac:dyDescent="0.2"/>
    <row r="787" s="3" customFormat="1" x14ac:dyDescent="0.2"/>
    <row r="788" s="3" customFormat="1" x14ac:dyDescent="0.2"/>
    <row r="789" s="3" customFormat="1" x14ac:dyDescent="0.2"/>
    <row r="790" s="3" customFormat="1" x14ac:dyDescent="0.2"/>
    <row r="791" s="3" customFormat="1" x14ac:dyDescent="0.2"/>
    <row r="792" s="3" customFormat="1" x14ac:dyDescent="0.2"/>
    <row r="793" s="3" customFormat="1" x14ac:dyDescent="0.2"/>
    <row r="794" s="3" customFormat="1" x14ac:dyDescent="0.2"/>
    <row r="795" s="3" customFormat="1" x14ac:dyDescent="0.2"/>
    <row r="796" s="3" customFormat="1" x14ac:dyDescent="0.2"/>
    <row r="797" s="3" customFormat="1" x14ac:dyDescent="0.2"/>
    <row r="798" s="3" customFormat="1" x14ac:dyDescent="0.2"/>
    <row r="799" s="3" customFormat="1" x14ac:dyDescent="0.2"/>
    <row r="800" s="3" customFormat="1" x14ac:dyDescent="0.2"/>
    <row r="801" s="3" customFormat="1" x14ac:dyDescent="0.2"/>
    <row r="802" s="3" customFormat="1" x14ac:dyDescent="0.2"/>
    <row r="803" s="3" customFormat="1" x14ac:dyDescent="0.2"/>
    <row r="804" s="3" customFormat="1" x14ac:dyDescent="0.2"/>
    <row r="805" s="3" customFormat="1" x14ac:dyDescent="0.2"/>
    <row r="806" s="3" customFormat="1" x14ac:dyDescent="0.2"/>
    <row r="807" s="3" customFormat="1" x14ac:dyDescent="0.2"/>
    <row r="808" s="3" customFormat="1" x14ac:dyDescent="0.2"/>
    <row r="809" s="3" customFormat="1" x14ac:dyDescent="0.2"/>
    <row r="810" s="3" customFormat="1" x14ac:dyDescent="0.2"/>
    <row r="811" s="3" customFormat="1" x14ac:dyDescent="0.2"/>
    <row r="812" s="3" customFormat="1" x14ac:dyDescent="0.2"/>
    <row r="813" s="3" customFormat="1" x14ac:dyDescent="0.2"/>
    <row r="814" s="3" customFormat="1" x14ac:dyDescent="0.2"/>
    <row r="815" s="3" customFormat="1" x14ac:dyDescent="0.2"/>
    <row r="816" s="3" customFormat="1" x14ac:dyDescent="0.2"/>
    <row r="817" s="3" customFormat="1" x14ac:dyDescent="0.2"/>
    <row r="818" s="3" customFormat="1" x14ac:dyDescent="0.2"/>
    <row r="819" s="3" customFormat="1" x14ac:dyDescent="0.2"/>
    <row r="820" s="3" customFormat="1" x14ac:dyDescent="0.2"/>
    <row r="821" s="3" customFormat="1" x14ac:dyDescent="0.2"/>
    <row r="822" s="3" customFormat="1" x14ac:dyDescent="0.2"/>
    <row r="823" s="3" customFormat="1" x14ac:dyDescent="0.2"/>
    <row r="824" s="3" customFormat="1" x14ac:dyDescent="0.2"/>
    <row r="825" s="3" customFormat="1" x14ac:dyDescent="0.2"/>
    <row r="826" s="3" customFormat="1" x14ac:dyDescent="0.2"/>
    <row r="827" s="3" customFormat="1" x14ac:dyDescent="0.2"/>
    <row r="828" s="3" customFormat="1" x14ac:dyDescent="0.2"/>
    <row r="829" s="3" customFormat="1" x14ac:dyDescent="0.2"/>
    <row r="830" s="3" customFormat="1" x14ac:dyDescent="0.2"/>
    <row r="831" s="3" customFormat="1" x14ac:dyDescent="0.2"/>
    <row r="832" s="3" customFormat="1" x14ac:dyDescent="0.2"/>
    <row r="833" s="3" customFormat="1" x14ac:dyDescent="0.2"/>
    <row r="834" s="3" customFormat="1" x14ac:dyDescent="0.2"/>
    <row r="835" s="3" customFormat="1" x14ac:dyDescent="0.2"/>
    <row r="836" s="3" customFormat="1" x14ac:dyDescent="0.2"/>
    <row r="837" s="3" customFormat="1" x14ac:dyDescent="0.2"/>
    <row r="838" s="3" customFormat="1" x14ac:dyDescent="0.2"/>
    <row r="839" s="3" customFormat="1" x14ac:dyDescent="0.2"/>
    <row r="840" s="3" customFormat="1" x14ac:dyDescent="0.2"/>
    <row r="841" s="3" customFormat="1" x14ac:dyDescent="0.2"/>
    <row r="842" s="3" customFormat="1" x14ac:dyDescent="0.2"/>
    <row r="843" s="3" customFormat="1" x14ac:dyDescent="0.2"/>
    <row r="844" s="3" customFormat="1" x14ac:dyDescent="0.2"/>
    <row r="845" s="3" customFormat="1" x14ac:dyDescent="0.2"/>
    <row r="846" s="3" customFormat="1" x14ac:dyDescent="0.2"/>
    <row r="847" s="3" customFormat="1" x14ac:dyDescent="0.2"/>
    <row r="848" s="3" customFormat="1" x14ac:dyDescent="0.2"/>
    <row r="849" s="3" customFormat="1" x14ac:dyDescent="0.2"/>
    <row r="850" s="3" customFormat="1" x14ac:dyDescent="0.2"/>
    <row r="851" s="3" customFormat="1" x14ac:dyDescent="0.2"/>
    <row r="852" s="3" customFormat="1" x14ac:dyDescent="0.2"/>
    <row r="853" s="3" customFormat="1" x14ac:dyDescent="0.2"/>
    <row r="854" s="3" customFormat="1" x14ac:dyDescent="0.2"/>
    <row r="855" s="3" customFormat="1" x14ac:dyDescent="0.2"/>
    <row r="856" s="3" customFormat="1" x14ac:dyDescent="0.2"/>
    <row r="857" s="3" customFormat="1" x14ac:dyDescent="0.2"/>
    <row r="858" s="3" customFormat="1" x14ac:dyDescent="0.2"/>
    <row r="859" s="3" customFormat="1" x14ac:dyDescent="0.2"/>
    <row r="860" s="3" customFormat="1" x14ac:dyDescent="0.2"/>
    <row r="861" s="3" customFormat="1" x14ac:dyDescent="0.2"/>
    <row r="862" s="3" customFormat="1" x14ac:dyDescent="0.2"/>
    <row r="863" s="3" customFormat="1" x14ac:dyDescent="0.2"/>
    <row r="864" s="3" customFormat="1" x14ac:dyDescent="0.2"/>
    <row r="865" s="3" customFormat="1" x14ac:dyDescent="0.2"/>
    <row r="866" s="3" customFormat="1" x14ac:dyDescent="0.2"/>
    <row r="867" s="3" customFormat="1" x14ac:dyDescent="0.2"/>
    <row r="868" s="3" customFormat="1" x14ac:dyDescent="0.2"/>
    <row r="869" s="3" customFormat="1" x14ac:dyDescent="0.2"/>
    <row r="870" s="3" customFormat="1" x14ac:dyDescent="0.2"/>
    <row r="871" s="3" customFormat="1" x14ac:dyDescent="0.2"/>
    <row r="872" s="3" customFormat="1" x14ac:dyDescent="0.2"/>
    <row r="873" s="3" customFormat="1" x14ac:dyDescent="0.2"/>
    <row r="874" s="3" customFormat="1" x14ac:dyDescent="0.2"/>
    <row r="875" s="3" customFormat="1" x14ac:dyDescent="0.2"/>
    <row r="876" s="3" customFormat="1" x14ac:dyDescent="0.2"/>
    <row r="877" s="3" customFormat="1" x14ac:dyDescent="0.2"/>
    <row r="878" s="3" customFormat="1" x14ac:dyDescent="0.2"/>
    <row r="879" s="3" customFormat="1" x14ac:dyDescent="0.2"/>
    <row r="880" s="3" customFormat="1" x14ac:dyDescent="0.2"/>
    <row r="881" s="3" customFormat="1" x14ac:dyDescent="0.2"/>
    <row r="882" s="3" customFormat="1" x14ac:dyDescent="0.2"/>
    <row r="883" s="3" customFormat="1" x14ac:dyDescent="0.2"/>
    <row r="884" s="3" customFormat="1" x14ac:dyDescent="0.2"/>
    <row r="885" s="3" customFormat="1" x14ac:dyDescent="0.2"/>
    <row r="886" s="3" customFormat="1" x14ac:dyDescent="0.2"/>
    <row r="887" s="3" customFormat="1" x14ac:dyDescent="0.2"/>
    <row r="888" s="3" customFormat="1" x14ac:dyDescent="0.2"/>
    <row r="889" s="3" customFormat="1" x14ac:dyDescent="0.2"/>
    <row r="890" s="3" customFormat="1" x14ac:dyDescent="0.2"/>
    <row r="891" s="3" customFormat="1" x14ac:dyDescent="0.2"/>
    <row r="892" s="3" customFormat="1" x14ac:dyDescent="0.2"/>
    <row r="893" s="3" customFormat="1" x14ac:dyDescent="0.2"/>
    <row r="894" s="3" customFormat="1" x14ac:dyDescent="0.2"/>
    <row r="895" s="3" customFormat="1" x14ac:dyDescent="0.2"/>
    <row r="896" s="3" customFormat="1" x14ac:dyDescent="0.2"/>
    <row r="897" s="3" customFormat="1" x14ac:dyDescent="0.2"/>
    <row r="898" s="3" customFormat="1" x14ac:dyDescent="0.2"/>
    <row r="899" s="3" customFormat="1" x14ac:dyDescent="0.2"/>
    <row r="900" s="3" customFormat="1" x14ac:dyDescent="0.2"/>
    <row r="901" s="3" customFormat="1" x14ac:dyDescent="0.2"/>
    <row r="902" s="3" customFormat="1" x14ac:dyDescent="0.2"/>
    <row r="903" s="3" customFormat="1" x14ac:dyDescent="0.2"/>
    <row r="904" s="3" customFormat="1" x14ac:dyDescent="0.2"/>
    <row r="905" s="3" customFormat="1" x14ac:dyDescent="0.2"/>
    <row r="906" s="3" customFormat="1" x14ac:dyDescent="0.2"/>
    <row r="907" s="3" customFormat="1" x14ac:dyDescent="0.2"/>
    <row r="908" s="3" customFormat="1" x14ac:dyDescent="0.2"/>
    <row r="909" s="3" customFormat="1" x14ac:dyDescent="0.2"/>
    <row r="910" s="3" customFormat="1" x14ac:dyDescent="0.2"/>
    <row r="911" s="3" customFormat="1" x14ac:dyDescent="0.2"/>
    <row r="912" s="3" customFormat="1" x14ac:dyDescent="0.2"/>
    <row r="913" s="3" customFormat="1" x14ac:dyDescent="0.2"/>
    <row r="914" s="3" customFormat="1" x14ac:dyDescent="0.2"/>
    <row r="915" s="3" customFormat="1" x14ac:dyDescent="0.2"/>
    <row r="916" s="3" customFormat="1" x14ac:dyDescent="0.2"/>
    <row r="917" s="3" customFormat="1" x14ac:dyDescent="0.2"/>
    <row r="918" s="3" customFormat="1" x14ac:dyDescent="0.2"/>
    <row r="919" s="3" customFormat="1" x14ac:dyDescent="0.2"/>
    <row r="920" s="3" customFormat="1" x14ac:dyDescent="0.2"/>
    <row r="921" s="3" customFormat="1" x14ac:dyDescent="0.2"/>
    <row r="922" s="3" customFormat="1" x14ac:dyDescent="0.2"/>
    <row r="923" s="3" customFormat="1" x14ac:dyDescent="0.2"/>
    <row r="924" s="3" customFormat="1" x14ac:dyDescent="0.2"/>
    <row r="925" s="3" customFormat="1" x14ac:dyDescent="0.2"/>
    <row r="926" s="3" customFormat="1" x14ac:dyDescent="0.2"/>
    <row r="927" s="3" customFormat="1" x14ac:dyDescent="0.2"/>
    <row r="928" s="3" customFormat="1" x14ac:dyDescent="0.2"/>
    <row r="929" s="3" customFormat="1" x14ac:dyDescent="0.2"/>
    <row r="930" s="3" customFormat="1" x14ac:dyDescent="0.2"/>
    <row r="931" s="3" customFormat="1" x14ac:dyDescent="0.2"/>
    <row r="932" s="3" customFormat="1" x14ac:dyDescent="0.2"/>
    <row r="933" s="3" customFormat="1" x14ac:dyDescent="0.2"/>
    <row r="934" s="3" customFormat="1" x14ac:dyDescent="0.2"/>
    <row r="935" s="3" customFormat="1" x14ac:dyDescent="0.2"/>
    <row r="936" s="3" customFormat="1" x14ac:dyDescent="0.2"/>
    <row r="937" s="3" customFormat="1" x14ac:dyDescent="0.2"/>
    <row r="938" s="3" customFormat="1" x14ac:dyDescent="0.2"/>
    <row r="939" s="3" customFormat="1" x14ac:dyDescent="0.2"/>
    <row r="940" s="3" customFormat="1" x14ac:dyDescent="0.2"/>
    <row r="941" s="3" customFormat="1" x14ac:dyDescent="0.2"/>
    <row r="942" s="3" customFormat="1" x14ac:dyDescent="0.2"/>
    <row r="943" s="3" customFormat="1" x14ac:dyDescent="0.2"/>
    <row r="944" s="3" customFormat="1" x14ac:dyDescent="0.2"/>
    <row r="945" s="3" customFormat="1" x14ac:dyDescent="0.2"/>
    <row r="946" s="3" customFormat="1" x14ac:dyDescent="0.2"/>
    <row r="947" s="3" customFormat="1" x14ac:dyDescent="0.2"/>
    <row r="948" s="3" customFormat="1" x14ac:dyDescent="0.2"/>
    <row r="949" s="3" customFormat="1" x14ac:dyDescent="0.2"/>
    <row r="950" s="3" customFormat="1" x14ac:dyDescent="0.2"/>
    <row r="951" s="3" customFormat="1" x14ac:dyDescent="0.2"/>
    <row r="952" s="3" customFormat="1" x14ac:dyDescent="0.2"/>
    <row r="953" s="3" customFormat="1" x14ac:dyDescent="0.2"/>
    <row r="954" s="3" customFormat="1" x14ac:dyDescent="0.2"/>
    <row r="955" s="3" customFormat="1" x14ac:dyDescent="0.2"/>
    <row r="956" s="3" customFormat="1" x14ac:dyDescent="0.2"/>
    <row r="957" s="3" customFormat="1" x14ac:dyDescent="0.2"/>
    <row r="958" s="3" customFormat="1" x14ac:dyDescent="0.2"/>
    <row r="959" s="3" customFormat="1" x14ac:dyDescent="0.2"/>
    <row r="960" s="3" customFormat="1" x14ac:dyDescent="0.2"/>
    <row r="961" s="3" customFormat="1" x14ac:dyDescent="0.2"/>
    <row r="962" s="3" customFormat="1" x14ac:dyDescent="0.2"/>
    <row r="963" s="3" customFormat="1" x14ac:dyDescent="0.2"/>
    <row r="964" s="3" customFormat="1" x14ac:dyDescent="0.2"/>
    <row r="965" s="3" customFormat="1" x14ac:dyDescent="0.2"/>
    <row r="966" s="3" customFormat="1" x14ac:dyDescent="0.2"/>
    <row r="967" s="3" customFormat="1" x14ac:dyDescent="0.2"/>
    <row r="968" s="3" customFormat="1" x14ac:dyDescent="0.2"/>
    <row r="969" s="3" customFormat="1" x14ac:dyDescent="0.2"/>
    <row r="970" s="3" customFormat="1" x14ac:dyDescent="0.2"/>
    <row r="971" s="3" customFormat="1" x14ac:dyDescent="0.2"/>
    <row r="972" s="3" customFormat="1" x14ac:dyDescent="0.2"/>
    <row r="973" s="3" customFormat="1" x14ac:dyDescent="0.2"/>
    <row r="974" s="3" customFormat="1" x14ac:dyDescent="0.2"/>
    <row r="975" s="3" customFormat="1" x14ac:dyDescent="0.2"/>
    <row r="976" s="3" customFormat="1" x14ac:dyDescent="0.2"/>
    <row r="977" s="3" customFormat="1" x14ac:dyDescent="0.2"/>
    <row r="978" s="3" customFormat="1" x14ac:dyDescent="0.2"/>
    <row r="979" s="3" customFormat="1" x14ac:dyDescent="0.2"/>
    <row r="980" s="3" customFormat="1" x14ac:dyDescent="0.2"/>
    <row r="981" s="3" customFormat="1" x14ac:dyDescent="0.2"/>
    <row r="982" s="3" customFormat="1" x14ac:dyDescent="0.2"/>
    <row r="983" s="3" customFormat="1" x14ac:dyDescent="0.2"/>
    <row r="984" s="3" customFormat="1" x14ac:dyDescent="0.2"/>
    <row r="985" s="3" customFormat="1" x14ac:dyDescent="0.2"/>
    <row r="986" s="3" customFormat="1" x14ac:dyDescent="0.2"/>
    <row r="987" s="3" customFormat="1" x14ac:dyDescent="0.2"/>
    <row r="988" s="3" customFormat="1" x14ac:dyDescent="0.2"/>
    <row r="989" s="3" customFormat="1" x14ac:dyDescent="0.2"/>
    <row r="990" s="3" customFormat="1" x14ac:dyDescent="0.2"/>
    <row r="991" s="3" customFormat="1" x14ac:dyDescent="0.2"/>
    <row r="992" s="3" customFormat="1" x14ac:dyDescent="0.2"/>
    <row r="993" s="3" customFormat="1" x14ac:dyDescent="0.2"/>
    <row r="994" s="3" customFormat="1" x14ac:dyDescent="0.2"/>
    <row r="995" s="3" customFormat="1" x14ac:dyDescent="0.2"/>
    <row r="996" s="3" customFormat="1" x14ac:dyDescent="0.2"/>
    <row r="997" s="3" customFormat="1" x14ac:dyDescent="0.2"/>
    <row r="998" s="3" customFormat="1" x14ac:dyDescent="0.2"/>
    <row r="999" s="3" customFormat="1" x14ac:dyDescent="0.2"/>
    <row r="1000" s="3" customFormat="1" x14ac:dyDescent="0.2"/>
    <row r="1001" s="3" customFormat="1" x14ac:dyDescent="0.2"/>
    <row r="1002" s="3" customFormat="1" x14ac:dyDescent="0.2"/>
    <row r="1003" s="3" customFormat="1" x14ac:dyDescent="0.2"/>
    <row r="1004" s="3" customFormat="1" x14ac:dyDescent="0.2"/>
  </sheetData>
  <sheetProtection sheet="1" objects="1" scenarios="1"/>
  <conditionalFormatting sqref="A1:G1">
    <cfRule type="notContainsErrors" dxfId="2" priority="1">
      <formula>NOT(ISERROR(A1))</formula>
    </cfRule>
  </conditionalFormatting>
  <conditionalFormatting sqref="A2:K3">
    <cfRule type="notContainsErrors" dxfId="1" priority="9">
      <formula>NOT(ISERROR(A2))</formula>
    </cfRule>
  </conditionalFormatting>
  <conditionalFormatting sqref="A4:K4">
    <cfRule type="notContainsErrors" dxfId="0" priority="8">
      <formula>NOT(ISERROR(A4))</formula>
    </cfRule>
  </conditionalFormatting>
  <dataValidations count="1">
    <dataValidation type="list" allowBlank="1" showInputMessage="1" showErrorMessage="1" sqref="G5:G1048576" xr:uid="{00000000-0002-0000-0E00-000002000000}">
      <formula1>"h5ad,rds,loom,mtx,csv"</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lib_prep!$B$5:$B$100</xm:f>
          </x14:formula1>
          <xm:sqref>C5:C1048576</xm:sqref>
        </x14:dataValidation>
        <x14:dataValidation type="list" allowBlank="1" showInputMessage="1" showErrorMessage="1" xr:uid="{00000000-0002-0000-0E00-000001000000}">
          <x14:formula1>
            <xm:f>expression_data_process_setting!$B$5:$B$100</xm:f>
          </x14:formula1>
          <xm:sqref>D5:D1048576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study</vt:lpstr>
      <vt:lpstr>person</vt:lpstr>
      <vt:lpstr>sample</vt:lpstr>
      <vt:lpstr>dissociation</vt:lpstr>
      <vt:lpstr>cell_suspension</vt:lpstr>
      <vt:lpstr>lib_prep</vt:lpstr>
      <vt:lpstr>data_values</vt:lpstr>
      <vt:lpstr>sequencing</vt:lpstr>
      <vt:lpstr>analysis_derived_data</vt:lpstr>
      <vt:lpstr>raw_data_processing</vt:lpstr>
      <vt:lpstr>downstream_processing</vt:lpstr>
      <vt:lpstr>data_availability_checklist</vt:lpstr>
      <vt:lpstr>file</vt:lpstr>
      <vt:lpstr>expression_data_process_setting</vt:lpstr>
      <vt:lpstr>expression_data_file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Aaliyah Providence (EI)</cp:lastModifiedBy>
  <dcterms:created xsi:type="dcterms:W3CDTF">2026-09-03T15:01:39Z</dcterms:created>
  <dcterms:modified xsi:type="dcterms:W3CDTF">2026-10-12T12:18:22Z</dcterms:modified>
</cp:coreProperties>
</file>