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providen/Documents/EI/manifests/manifests_edp_lims/"/>
    </mc:Choice>
  </mc:AlternateContent>
  <xr:revisionPtr revIDLastSave="0" documentId="13_ncr:1_{B04060BA-33A5-3B49-B51E-7A74FF69066D}" xr6:coauthVersionLast="47" xr6:coauthVersionMax="47" xr10:uidLastSave="{00000000-0000-0000-0000-000000000000}"/>
  <bookViews>
    <workbookView xWindow="1460" yWindow="880" windowWidth="27500" windowHeight="16180" activeTab="1" xr2:uid="{00000000-000D-0000-FFFF-FFFF00000000}"/>
  </bookViews>
  <sheets>
    <sheet name="How to complete the Manifest" sheetId="1" r:id="rId1"/>
    <sheet name="sample" sheetId="2" r:id="rId2"/>
    <sheet name="index" sheetId="3" r:id="rId3"/>
    <sheet name="sample_meta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9" i="2" l="1" a="1"/>
  <c r="O29" i="2" s="1"/>
  <c r="N29" i="2" a="1"/>
  <c r="N29" i="2" s="1"/>
  <c r="M29" i="2" a="1"/>
  <c r="M2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Neil Shearer (EI)</author>
    <author>COPO</author>
  </authors>
  <commentList>
    <comment ref="E6" authorId="0" shapeId="0" xr:uid="{00000000-0006-0000-0100-000001000000}">
      <text>
        <r>
          <rPr>
            <sz val="12"/>
            <color rgb="FF000000"/>
            <rFont val="Aptos Narrow"/>
            <family val="2"/>
          </rPr>
          <t xml:space="preserve">
</t>
        </r>
        <r>
          <rPr>
            <sz val="12"/>
            <color rgb="FF000000"/>
            <rFont val="Aptos Narrow"/>
            <family val="2"/>
          </rPr>
          <t>Please supply the email address of one or more persons to whom the final data should be sent. Separate multiple addresses with a semi colon and a space, as per MS Outlook format.</t>
        </r>
      </text>
    </comment>
    <comment ref="L8" authorId="0" shapeId="0" xr:uid="{00000000-0006-0000-0100-000002000000}">
      <text>
        <r>
          <rPr>
            <sz val="12"/>
            <color rgb="FF000000"/>
            <rFont val="Aptos Narrow"/>
            <family val="2"/>
          </rPr>
          <t xml:space="preserve">
</t>
        </r>
        <r>
          <rPr>
            <sz val="12"/>
            <color rgb="FF000000"/>
            <rFont val="Aptos Narrow"/>
            <family val="2"/>
          </rPr>
          <t>Please indicate whether you wish your samples to be returned (at your cost) after project completion.</t>
        </r>
      </text>
    </comment>
    <comment ref="L9" authorId="0" shapeId="0" xr:uid="{00000000-0006-0000-0100-000003000000}">
      <text>
        <r>
          <rPr>
            <sz val="12"/>
            <color theme="1"/>
            <rFont val="Aptos Narrow"/>
            <family val="2"/>
            <scheme val="minor"/>
          </rPr>
          <t xml:space="preserve">
Please select YES to confirm you have read and understood the statement, and have informed us of any risks.</t>
        </r>
      </text>
    </comment>
    <comment ref="I28" authorId="1" shapeId="0" xr:uid="{00000000-0006-0000-0100-000004000000}">
      <text>
        <r>
          <rPr>
            <sz val="12"/>
            <color theme="1"/>
            <rFont val="Aptos Narrow"/>
            <family val="2"/>
            <scheme val="minor"/>
          </rPr>
          <t xml:space="preserve">Enter your sample identifiers, using alphanumeric characters (a-z, A-Z,, 0-9) only with no spaces or leading zeros. 
These should be as short as practically possible and no longer than 15 characters. </t>
        </r>
      </text>
    </comment>
    <comment ref="J28" authorId="1" shapeId="0" xr:uid="{00000000-0006-0000-0100-000005000000}">
      <text>
        <r>
          <rPr>
            <sz val="12"/>
            <color theme="1"/>
            <rFont val="Aptos Narrow"/>
            <family val="2"/>
            <scheme val="minor"/>
          </rPr>
          <t>Please provide an accurate volume for each sample, using numeric characters only.</t>
        </r>
      </text>
    </comment>
    <comment ref="K28" authorId="1" shapeId="0" xr:uid="{00000000-0006-0000-0100-000006000000}">
      <text>
        <r>
          <rPr>
            <sz val="12"/>
            <color theme="1"/>
            <rFont val="Aptos Narrow"/>
            <family val="2"/>
            <scheme val="minor"/>
          </rPr>
          <t>Please provide an accurate concentration for each sample, using numeric characters only.</t>
        </r>
      </text>
    </comment>
    <comment ref="L28" authorId="1" shapeId="0" xr:uid="{00000000-0006-0000-0100-000007000000}">
      <text>
        <r>
          <rPr>
            <sz val="12"/>
            <color theme="1"/>
            <rFont val="Aptos Narrow"/>
            <family val="2"/>
            <scheme val="minor"/>
          </rPr>
          <t>Please select from the drop down menu or use free text to enter another method.</t>
        </r>
      </text>
    </comment>
    <comment ref="M28" authorId="1" shapeId="0" xr:uid="{00000000-0006-0000-0100-000008000000}">
      <text>
        <r>
          <rPr>
            <sz val="12"/>
            <color theme="1"/>
            <rFont val="Aptos Narrow"/>
            <family val="2"/>
            <scheme val="minor"/>
          </rPr>
          <t>Please use the link in the column header to browse to NCBI and find the Taxon ID number for your organism. For samples containing multiple species, use 256318.</t>
        </r>
      </text>
    </comment>
    <comment ref="N28" authorId="1" shapeId="0" xr:uid="{00000000-0006-0000-0100-000009000000}">
      <text>
        <r>
          <rPr>
            <sz val="12"/>
            <color theme="1"/>
            <rFont val="Aptos Narrow"/>
            <family val="2"/>
            <scheme val="minor"/>
          </rPr>
          <t>Please provide the scientific name corresponding to the NCBI Taxon ID number. If the sample contains multiple species enter "metagenome".</t>
        </r>
      </text>
    </comment>
    <comment ref="P28" authorId="1" shapeId="0" xr:uid="{00000000-0006-0000-0100-00000A000000}">
      <text>
        <r>
          <rPr>
            <sz val="12"/>
            <color theme="1"/>
            <rFont val="Aptos Narrow"/>
            <family val="2"/>
            <scheme val="minor"/>
          </rPr>
          <t>Enter the buffer that each sample was eluted/stored in. Select from the drop down menu or, if a different buffer was used, use free text to enter.</t>
        </r>
      </text>
    </comment>
    <comment ref="Q28" authorId="1" shapeId="0" xr:uid="{00000000-0006-0000-0100-00000B000000}">
      <text>
        <r>
          <rPr>
            <sz val="12"/>
            <color theme="1"/>
            <rFont val="Aptos Narrow"/>
            <family val="2"/>
            <scheme val="minor"/>
          </rPr>
          <t>If known, please enter the length of the library or the average library length of the pool in bp.
If unknown, leave blank. Do not enter N/A or similar, as only numeric values (integer format) are permitted.</t>
        </r>
      </text>
    </comment>
    <comment ref="R28" authorId="1" shapeId="0" xr:uid="{00000000-0006-0000-0100-00000C000000}">
      <text>
        <r>
          <rPr>
            <sz val="12"/>
            <color theme="1"/>
            <rFont val="Aptos Narrow"/>
            <family val="2"/>
            <scheme val="minor"/>
          </rPr>
          <t>Please provide the name of the commercial kit used for library preparation or enter Custom and supply details separately by email for non-commercial methods.
Entries are limited to a maximum of 100 characters.</t>
        </r>
      </text>
    </comment>
    <comment ref="S28" authorId="1" shapeId="0" xr:uid="{00000000-0006-0000-0100-00000D000000}">
      <text>
        <r>
          <rPr>
            <sz val="12"/>
            <color theme="1"/>
            <rFont val="Aptos Narrow"/>
            <family val="2"/>
            <scheme val="minor"/>
          </rPr>
          <t>Please select from the drop-down list, any relevant legal regulations that apply to your samples. If multiple regulations apply, or the specific regulation(s) are not listed, type them in using the formula bar. Please include any non-UK/non-EU GDPR equivalent regulations or other regulations specific to your country.
If no regulations apply, select NONE</t>
        </r>
      </text>
    </comment>
    <comment ref="T28" authorId="1" shapeId="0" xr:uid="{00000000-0006-0000-0100-00000E000000}">
      <text>
        <r>
          <rPr>
            <sz val="12"/>
            <color theme="1"/>
            <rFont val="Aptos Narrow"/>
            <family val="2"/>
            <scheme val="minor"/>
          </rPr>
          <t>Please enter the known or estimated genome size (in bp) of the organism from which the library was constructed.
If unknow please leave blank. Do not enter N/A or similar, as only numeric values  (integer format) are permitted.</t>
        </r>
      </text>
    </comment>
    <comment ref="U28" authorId="1" shapeId="0" xr:uid="{00000000-0006-0000-0100-00000F000000}">
      <text>
        <r>
          <rPr>
            <sz val="12"/>
            <color theme="1"/>
            <rFont val="Aptos Narrow"/>
            <family val="2"/>
            <scheme val="minor"/>
          </rPr>
          <t>If you have sent us gel pictures or instrument traces to support your sample QC, please select YES from the drop-down menu. 
Otherwise, leave blank.</t>
        </r>
      </text>
    </comment>
    <comment ref="V28" authorId="1" shapeId="0" xr:uid="{00000000-0006-0000-0100-000010000000}">
      <text>
        <r>
          <rPr>
            <sz val="12"/>
            <color theme="1"/>
            <rFont val="Aptos Narrow"/>
            <family val="2"/>
            <scheme val="minor"/>
          </rPr>
          <t>Please provide the name of any potential contaminating species in the samples. E.g. host DNA in a parasite sample. This may be important for data QC and/or downstream bioinformatic analysis. Limit any entry to a maximum of 100 characters.
If not relevant, leave blank</t>
        </r>
      </text>
    </comment>
    <comment ref="W28" authorId="1" shapeId="0" xr:uid="{00000000-0006-0000-0100-000011000000}">
      <text>
        <r>
          <rPr>
            <sz val="12"/>
            <color theme="1"/>
            <rFont val="Aptos Narrow"/>
            <family val="2"/>
            <scheme val="minor"/>
          </rPr>
          <t>Please insert a link to a reference genome, if one is available for the species being sequenced.
Limit any entry to a maximum of 200 characters. If the link is longer, supply it by email to our Project Management team.
If not relevant, leave blank.</t>
        </r>
      </text>
    </comment>
    <comment ref="X28" authorId="1" shapeId="0" xr:uid="{00000000-0006-0000-0100-000012000000}">
      <text>
        <r>
          <rPr>
            <sz val="12"/>
            <color theme="1"/>
            <rFont val="Aptos Narrow"/>
            <family val="2"/>
            <scheme val="minor"/>
          </rPr>
          <t>Please restrict comments to sample specific details that have not previously been discussed. For project level details, or comments longer than 100 characters, please email our Project Management team.
If not relevant, leave blank.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COPO</author>
  </authors>
  <commentList>
    <comment ref="B1" authorId="0" shapeId="0" xr:uid="{00000000-0006-0000-0200-000001000000}">
      <text>
        <r>
          <rPr>
            <sz val="12"/>
            <color theme="1"/>
            <rFont val="Aptos Narrow"/>
            <family val="2"/>
            <scheme val="minor"/>
          </rPr>
          <t xml:space="preserve">If submitting individual libraries, this field will be pre-filled by EI.
If submitting a pool of libraries, copy the Sample ID of the pool containing the library from column A of the Sample Manifest tab. All indexed libraries within the same pool should have the same Sample ID.  </t>
        </r>
      </text>
    </comment>
    <comment ref="C1" authorId="0" shapeId="0" xr:uid="{00000000-0006-0000-0200-000002000000}">
      <text>
        <r>
          <rPr>
            <sz val="12"/>
            <color theme="1"/>
            <rFont val="Aptos Narrow"/>
            <family val="2"/>
            <scheme val="minor"/>
          </rPr>
          <t xml:space="preserve">If submitting individual libraries, copy the Submitter Sample Reference from column L of the Sample Manifest tab.
If submitting a pool of libraries, add the name for each indexed library (each library in a pool must have a unique name). Please use alphanumeric characters only with no spaces or leading zeros and keep as short as practically possible. </t>
        </r>
      </text>
    </comment>
    <comment ref="D1" authorId="0" shapeId="0" xr:uid="{00000000-0006-0000-0200-000003000000}">
      <text>
        <r>
          <rPr>
            <sz val="12"/>
            <color theme="1"/>
            <rFont val="Aptos Narrow"/>
            <family val="2"/>
            <scheme val="minor"/>
          </rPr>
          <t>Please provide if known but remove any hyphens and spaces.</t>
        </r>
      </text>
    </comment>
    <comment ref="E1" authorId="0" shapeId="0" xr:uid="{00000000-0006-0000-0200-000004000000}">
      <text>
        <r>
          <rPr>
            <sz val="12"/>
            <color theme="1"/>
            <rFont val="Aptos Narrow"/>
            <family val="2"/>
            <scheme val="minor"/>
          </rPr>
          <t xml:space="preserve">Please add index sequences in the Forward Strand Workflow orientation as describing in Illumina's Indexed Sequencing Guide at https://jp.illumina.com/content/dam/illumina-support/documents/documentation/system_documentation/miseq/indexed-sequencing-overview-guide-15057455-08.pdf . This is the orientation described as being required for NovaSeq 6000 with v1.0 reagents, MiSeq, HiSeq 2500 or HiSeq 2000. Our LIMS will automatically generate the index sequence in the correct orientation for the sequencing instrument used.
Do not enter the i5 index in the Reverse Complement Workflow orientation stated to be required for other instruments/reagents version.
Leave blank for non-indexed libraries. 
Note that all pools should contain at least two indexed libraries. </t>
        </r>
      </text>
    </comment>
    <comment ref="F1" authorId="0" shapeId="0" xr:uid="{00000000-0006-0000-0200-000005000000}">
      <text>
        <r>
          <rPr>
            <sz val="12"/>
            <color theme="1"/>
            <rFont val="Aptos Narrow"/>
            <family val="2"/>
            <scheme val="minor"/>
          </rPr>
          <t>Please provide if known but remove any hyphens and spaces.</t>
        </r>
      </text>
    </comment>
    <comment ref="G1" authorId="0" shapeId="0" xr:uid="{00000000-0006-0000-0200-000006000000}">
      <text>
        <r>
          <rPr>
            <sz val="12"/>
            <color theme="1"/>
            <rFont val="Aptos Narrow"/>
            <family val="2"/>
            <scheme val="minor"/>
          </rPr>
          <t xml:space="preserve">Please add index sequences in the Forward Strand Workflow orientation as describing in Illumina's Indexed Sequencing Guide at https://jp.illumina.com/content/dam/illumina-support/documents/documentation/system_documentation/miseq/indexed-sequencing-overview-guide-15057455-08.pdf. This is the orientation described as being required for NovaSeq 6000 with v1.0 reagents, MiSeq, HiSeq 2500 or HiSeq 2000. Our LIMS will automatically generate the index sequence in the correct orientation for the sequencing instrument used.
Do not enter the i5 index in the Reverse Complement Workflow orientation stated to be required for other instruments/reagents version.
Leave blank for single indexed or non-indexed libraries. 
Note that all pools should contain at least two indexed libraries. </t>
        </r>
      </text>
    </comment>
    <comment ref="H1" authorId="0" shapeId="0" xr:uid="{00000000-0006-0000-0200-000007000000}">
      <text>
        <r>
          <rPr>
            <sz val="12"/>
            <color theme="1"/>
            <rFont val="Aptos Narrow"/>
            <family val="2"/>
            <scheme val="minor"/>
          </rPr>
          <t>For EI use only. Please leave blank.</t>
        </r>
      </text>
    </comment>
    <comment ref="I1" authorId="0" shapeId="0" xr:uid="{00000000-0006-0000-0200-000008000000}">
      <text>
        <r>
          <rPr>
            <sz val="12"/>
            <color theme="1"/>
            <rFont val="Aptos Narrow"/>
            <family val="2"/>
            <scheme val="minor"/>
          </rPr>
          <t>For EI use only. Please leave blank.</t>
        </r>
      </text>
    </comment>
  </commentList>
</comments>
</file>

<file path=xl/sharedStrings.xml><?xml version="1.0" encoding="utf-8"?>
<sst xmlns="http://schemas.openxmlformats.org/spreadsheetml/2006/main" count="133" uniqueCount="102">
  <si>
    <t xml:space="preserve">Earlham Institute Sample Submission Form </t>
  </si>
  <si>
    <t>PROJECT DETAILS</t>
  </si>
  <si>
    <t>PI / Budget Holder Name</t>
  </si>
  <si>
    <t>copo-playwright-test-user</t>
  </si>
  <si>
    <t>Fields in green must be completed</t>
  </si>
  <si>
    <t>Project ID</t>
  </si>
  <si>
    <t>PR0149</t>
  </si>
  <si>
    <t>JIRA PIP</t>
  </si>
  <si>
    <t>copo-playwright-test-101</t>
  </si>
  <si>
    <t>Fields in blue are optional</t>
  </si>
  <si>
    <t>Email address(es) of person(s) who final data should be sent to</t>
  </si>
  <si>
    <t>Do you require samples to be returned to you (at your cost) on completion of the project?</t>
  </si>
  <si>
    <t>Health and Safety
By submitting this manifest to EI you are confirming that, if relevant, you have informed us of any potential health and safety risks associated with the samples. Please select YES (in the box to the right) to confirm you have read and understood this message.</t>
  </si>
  <si>
    <t>Please complete this manifest and return it to our Project Management team by email before submitting your samples.</t>
  </si>
  <si>
    <t>Legal
As a sample submitter, you are legally responsible for confirming that: 
 ♦ Your samples were obtained with appropriate consent.
 ♦ Their submission is compliant with relevant legal regulations (see list below).
Therefore, it is mandatory to complete the Applicable Regulations column, in the Sample Details table of this manifest, for all samples submitted to EI.
 ♦ CITES - https://cites.org/eng
 ♦ Plant Health Regulations - https://www.gov.uk/guidance/plant-health-controls
 ♦ Human Tissue Act - https://www.hta.gov.uk/guidance-professionals/hta-legislation
 ♦ Nagoya Protocol - https://www.cbd.int/abs/about/ 
 ♦ UK GDPR &amp; The Data Protection Act 2018 - https://www.gov.uk/data-protection EU-GDPR https://gdpr.eu/tag/gdpr/ 
     International data protection laws/regulations - https://www.dlapiperdataprotection.com/</t>
  </si>
  <si>
    <t>mailto:projects@earlham.ac.uk</t>
  </si>
  <si>
    <t>SAMPLE DETAILS</t>
  </si>
  <si>
    <t>For the use of Earlham Institute only - DO NOT EDIT</t>
  </si>
  <si>
    <t>Sample ID</t>
  </si>
  <si>
    <t>EI Sample Name</t>
  </si>
  <si>
    <t>Sample Type</t>
  </si>
  <si>
    <t>EI Plate ID</t>
  </si>
  <si>
    <t>Row Position</t>
  </si>
  <si>
    <t>Column Position</t>
  </si>
  <si>
    <t>Library Type</t>
  </si>
  <si>
    <t>Submitter Sample Reference</t>
  </si>
  <si>
    <t xml:space="preserve"> Volume (µl)</t>
  </si>
  <si>
    <t>Concentration (ng/µl)</t>
  </si>
  <si>
    <t>Quantification Method</t>
  </si>
  <si>
    <t>NCBI Taxon ID</t>
  </si>
  <si>
    <t>Scientific Name (Latin)</t>
  </si>
  <si>
    <t>BioSample Accession</t>
  </si>
  <si>
    <t>Storage Buffer</t>
  </si>
  <si>
    <t>Mean Fragment / Library Length (bp)</t>
  </si>
  <si>
    <t>Library Prep Method Used</t>
  </si>
  <si>
    <t>Applicable Regulations</t>
  </si>
  <si>
    <t>Genome Size (bp)</t>
  </si>
  <si>
    <t>Gel Picture or Trace Provided</t>
  </si>
  <si>
    <t>Potential Contaminating Species</t>
  </si>
  <si>
    <t>Reference genome (Insert Link)</t>
  </si>
  <si>
    <t>Submitter Comments</t>
  </si>
  <si>
    <t>A131172</t>
  </si>
  <si>
    <t>PR0149-S1</t>
  </si>
  <si>
    <t>Tissue</t>
  </si>
  <si>
    <t>PL1816</t>
  </si>
  <si>
    <t>A</t>
  </si>
  <si>
    <t>1</t>
  </si>
  <si>
    <t>Illumina premade library</t>
  </si>
  <si>
    <t>Instructions for completing the Manifest.</t>
  </si>
  <si>
    <t>Do not edit fields highlighted in grey, these are for Earlham Institute use only</t>
  </si>
  <si>
    <t>STUDY DETAILS</t>
  </si>
  <si>
    <t>Email Address</t>
  </si>
  <si>
    <t>Please supply the email address of one or more persons to whom the final data should be sent. Please separate multiple emails with semi colon and space, as per MS Outlook format.</t>
  </si>
  <si>
    <t>Sample Return</t>
  </si>
  <si>
    <t>Please indicate whether or not you wish your samples to be returned (at your cost) after project completion, by selecting YES or NO from the drop down list.</t>
  </si>
  <si>
    <t>Health and Safety</t>
  </si>
  <si>
    <t>By submitting this manifest to EI you are confirming that, if relevant, you have informed us of any potential health and safety risks associated with the samples. Please select YES (in the box to the right) to confirm you have read and understood this message.</t>
  </si>
  <si>
    <t xml:space="preserve">Enter your sample identifiers, using alphanumeric characters (a-z, A-Z,, 0-9) only with no spaces or leading zeros. 
These should be as short as practically possible and no longer than 15 characters. </t>
  </si>
  <si>
    <t>Please provide an accurate volume for each sample, using numeric characters only.</t>
  </si>
  <si>
    <t>Please provide an accurate concentration for each sample, using numeric characters only.</t>
  </si>
  <si>
    <t>Please select from the drop down menu or use free text to enter another method.</t>
  </si>
  <si>
    <t>Please use the link in the column header to browse to NCBI and find the Taxon ID number for your organism. For samples containing multiple species, use 256318.</t>
  </si>
  <si>
    <t>Please provide the scientific name corresponding to the NCBI Taxon ID number. If the sample contains multiple species enter "metagenome".</t>
  </si>
  <si>
    <t>Enter the buffer that each sample was eluted/stored in. Select from the drop down menu or, if a different buffer was used, use free text to enter.</t>
  </si>
  <si>
    <t>If known, please enter the length of the library or the average library length of the pool in bp.
If unknown, leave blank. Do not enter N/A or similar, as only numeric values (integer format) are permitted.</t>
  </si>
  <si>
    <t>Please provide the name of the commercial kit used for library preparation or enter Custom and supply details separately by email for non-commercial methods.
Entries are limited to a maximum of 100 characters.</t>
  </si>
  <si>
    <t>Please select from the drop-down list, any relevant legal regulations that apply to your samples. If multiple regulations apply, or the specific regulation(s) are not listed, type them in using the formula bar. Please include any non-UK/non-EU GDPR equivalent regulations or other regulations specific to your country.
If no regulations apply, select NONE</t>
  </si>
  <si>
    <t>Please enter the known or estimated genome size (in bp) of the organism from which the library was constructed.
If unknow please leave blank. Do not enter N/A or similar, as only numeric values  (integer format) are permitted.</t>
  </si>
  <si>
    <t>If you have sent us gel pictures or instrument traces to support your sample QC, please select YES from the drop-down menu. 
Otherwise, leave blank.</t>
  </si>
  <si>
    <t>Please provide the name of any potential contaminating species in the samples. E.g. host DNA in a parasite sample. This may be important for data QC and/or downstream bioinformatic analysis. Limit any entry to a maximum of 100 characters.
If not relevant, leave blank</t>
  </si>
  <si>
    <t>Please insert a link to a reference genome, if one is available for the species being sequenced.
Limit any entry to a maximum of 200 characters. If the link is longer, supply it by email to our Project Management team.
If not relevant, leave blank.</t>
  </si>
  <si>
    <t>Please restrict comments to sample specific details that have not previously been discussed. For project level details, or comments longer than 100 characters, please email our Project Management team.
If not relevant, leave blank.</t>
  </si>
  <si>
    <t>INDEX DETAILS</t>
  </si>
  <si>
    <t xml:space="preserve">If submitting individual libraries, this field will be pre-filled by EI.
If submitting a pool of libraries, copy the Sample ID of the pool containing the library from column A of the Sample Manifest tab. All indexed libraries within the same pool should have the same Sample ID.  </t>
  </si>
  <si>
    <t>Submitter_library _name</t>
  </si>
  <si>
    <t xml:space="preserve">If submitting individual libraries, copy the Submitter Sample Reference from column L of the Sample Manifest tab.
If submitting a pool of libraries, add the name for each indexed library (each library in a pool must have a unique name). Please use alphanumeric characters only with no spaces or leading zeros and keep as short as practically possible. </t>
  </si>
  <si>
    <t>Index 1 ID</t>
  </si>
  <si>
    <t>Please provide if known but remove any hyphens and spaces.</t>
  </si>
  <si>
    <t>Index 1 (i7) Sequence in 5' to 3' orientation</t>
  </si>
  <si>
    <t xml:space="preserve">Please add index sequences in the Forward Strand Workflow orientation as describing in Illumina's Indexed Sequencing Guide at https://jp.illumina.com/content/dam/illumina-support/documents/documentation/system_documentation/miseq/indexed-sequencing-overview-guide-15057455-08.pdf . This is the orientation described as being required for NovaSeq 6000 with v1.0 reagents, MiSeq, HiSeq 2500 or HiSeq 2000. Our LIMS will automatically generate the index sequence in the correct orientation for the sequencing instrument used.
Do not enter the i5 index in the Reverse Complement Workflow orientation stated to be required for other instruments/reagents version.
Leave blank for non-indexed libraries. 
Note that all pools should contain at least two indexed libraries. </t>
  </si>
  <si>
    <t>Index 2 ID</t>
  </si>
  <si>
    <t>Index 2 (i5) Sequence in 5' to 3' orientation</t>
  </si>
  <si>
    <t xml:space="preserve">Please add index sequences in the Forward Strand Workflow orientation as describing in Illumina's Indexed Sequencing Guide at https://jp.illumina.com/content/dam/illumina-support/documents/documentation/system_documentation/miseq/indexed-sequencing-overview-guide-15057455-08.pdf. This is the orientation described as being required for NovaSeq 6000 with v1.0 reagents, MiSeq, HiSeq 2500 or HiSeq 2000. Our LIMS will automatically generate the index sequence in the correct orientation for the sequencing instrument used.
Do not enter the i5 index in the Reverse Complement Workflow orientation stated to be required for other instruments/reagents version.
Leave blank for single indexed or non-indexed libraries. 
Note that all pools should contain at least two indexed libraries. </t>
  </si>
  <si>
    <t>Index ID</t>
  </si>
  <si>
    <t>index Tag</t>
  </si>
  <si>
    <t>submitter_sample_reference</t>
  </si>
  <si>
    <t>taxon_id</t>
  </si>
  <si>
    <t>scientific_name</t>
  </si>
  <si>
    <t>biosampleAccession</t>
  </si>
  <si>
    <t>ei.copo-dev@earlham.ac.uk</t>
  </si>
  <si>
    <t>NO</t>
  </si>
  <si>
    <t>YES</t>
  </si>
  <si>
    <t>SPECTROPHOTMETRY</t>
  </si>
  <si>
    <t>AE</t>
  </si>
  <si>
    <t>test prep</t>
  </si>
  <si>
    <t>CITES</t>
  </si>
  <si>
    <t>Test LIMS data submitted for COPO Playwright test</t>
  </si>
  <si>
    <t>index1</t>
  </si>
  <si>
    <t>sequence1</t>
  </si>
  <si>
    <t>index2</t>
  </si>
  <si>
    <t>sequence2</t>
  </si>
  <si>
    <t>sample1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</si>
</sst>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Aptos Narrow"/>
      <family val="2"/>
      <scheme val="minor"/>
    </font>
    <font>
      <u/>
      <sz val="12"/>
      <color theme="10"/>
      <name val="Aptos Narrow"/>
      <family val="2"/>
      <scheme val="minor"/>
    </font>
    <font>
      <b/>
      <sz val="20"/>
      <color rgb="FFCC0000"/>
      <name val="Arial"/>
      <family val="2"/>
    </font>
    <font>
      <sz val="20"/>
      <color rgb="FFCC0000"/>
      <name val="Arial"/>
      <family val="2"/>
    </font>
    <font>
      <sz val="11"/>
      <color theme="1"/>
      <name val="Arial"/>
      <family val="2"/>
    </font>
    <font>
      <sz val="12"/>
      <color theme="1"/>
      <name val="Arial"/>
      <family val="2"/>
    </font>
    <font>
      <b/>
      <sz val="11"/>
      <color theme="1"/>
      <name val="Arial"/>
      <family val="2"/>
    </font>
    <font>
      <b/>
      <sz val="16"/>
      <color theme="1"/>
      <name val="Arial"/>
      <family val="2"/>
    </font>
    <font>
      <b/>
      <sz val="12"/>
      <color theme="1"/>
      <name val="Arial"/>
      <family val="2"/>
    </font>
    <font>
      <b/>
      <sz val="12"/>
      <color rgb="FFCC0000"/>
      <name val="Arial"/>
      <family val="2"/>
    </font>
    <font>
      <sz val="12"/>
      <color rgb="FF0A0101"/>
      <name val="Arial"/>
      <family val="2"/>
    </font>
    <font>
      <sz val="12"/>
      <color rgb="FFCC0000"/>
      <name val="Arial"/>
      <family val="2"/>
    </font>
    <font>
      <b/>
      <sz val="12"/>
      <name val="Arial"/>
      <family val="2"/>
    </font>
    <font>
      <b/>
      <sz val="14"/>
      <color theme="1"/>
      <name val="Arial"/>
      <family val="2"/>
    </font>
    <font>
      <b/>
      <sz val="16"/>
      <name val="Aptos Narrow"/>
    </font>
    <font>
      <b/>
      <sz val="12"/>
      <name val="Aptos Narrow"/>
    </font>
    <font>
      <sz val="12"/>
      <color rgb="FF000000"/>
      <name val="Aptos Narrow"/>
      <family val="2"/>
    </font>
  </fonts>
  <fills count="13">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BF00"/>
      </patternFill>
    </fill>
    <fill>
      <patternFill patternType="solid">
        <fgColor rgb="FF90D5FF"/>
      </patternFill>
    </fill>
    <fill>
      <patternFill patternType="solid">
        <fgColor rgb="FFA6C875"/>
      </patternFill>
    </fill>
    <fill>
      <patternFill patternType="solid">
        <fgColor rgb="FFD3D3D3"/>
      </patternFill>
    </fill>
  </fills>
  <borders count="1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auto="1"/>
      </left>
      <right style="medium">
        <color auto="1"/>
      </right>
      <top style="medium">
        <color auto="1"/>
      </top>
      <bottom style="medium">
        <color auto="1"/>
      </bottom>
      <diagonal/>
    </border>
  </borders>
  <cellStyleXfs count="6">
    <xf numFmtId="0" fontId="0" fillId="0" borderId="0"/>
    <xf numFmtId="0" fontId="1" fillId="0" borderId="0"/>
    <xf numFmtId="0" fontId="14" fillId="9" borderId="17">
      <alignment horizontal="center" vertical="center"/>
    </xf>
    <xf numFmtId="0" fontId="15" fillId="10" borderId="17">
      <alignment horizontal="center" vertical="center" wrapText="1"/>
    </xf>
    <xf numFmtId="0" fontId="15" fillId="11" borderId="17">
      <alignment horizontal="center" vertical="center" wrapText="1"/>
    </xf>
    <xf numFmtId="0" fontId="15" fillId="12" borderId="17">
      <alignment horizontal="center" vertical="center" wrapText="1"/>
    </xf>
  </cellStyleXfs>
  <cellXfs count="68">
    <xf numFmtId="0" fontId="0" fillId="0" borderId="0" xfId="0"/>
    <xf numFmtId="0" fontId="4" fillId="0" borderId="0" xfId="0" applyFont="1"/>
    <xf numFmtId="0" fontId="5" fillId="0" borderId="0" xfId="0" applyFont="1"/>
    <xf numFmtId="0" fontId="6" fillId="0" borderId="0" xfId="0" applyFont="1" applyAlignment="1">
      <alignment wrapText="1"/>
    </xf>
    <xf numFmtId="0" fontId="2" fillId="0" borderId="0" xfId="0" applyFont="1"/>
    <xf numFmtId="0" fontId="3" fillId="0" borderId="0" xfId="0" applyFont="1"/>
    <xf numFmtId="0" fontId="8" fillId="2" borderId="4" xfId="0" applyFont="1" applyFill="1" applyBorder="1"/>
    <xf numFmtId="0" fontId="4" fillId="0" borderId="0" xfId="0" applyFont="1" applyAlignment="1">
      <alignment wrapText="1"/>
    </xf>
    <xf numFmtId="0" fontId="9" fillId="7" borderId="12" xfId="0" applyFont="1" applyFill="1" applyBorder="1" applyAlignment="1" applyProtection="1">
      <alignment horizontal="center" vertical="center" wrapText="1"/>
      <protection locked="0"/>
    </xf>
    <xf numFmtId="0" fontId="10" fillId="0" borderId="0" xfId="0" applyFont="1"/>
    <xf numFmtId="0" fontId="9" fillId="0" borderId="0" xfId="0" applyFont="1" applyAlignment="1" applyProtection="1">
      <alignment horizontal="center" vertical="center"/>
      <protection locked="0"/>
    </xf>
    <xf numFmtId="0" fontId="11" fillId="0" borderId="0" xfId="0" applyFont="1"/>
    <xf numFmtId="0" fontId="4" fillId="0" borderId="0" xfId="0" applyFont="1" applyAlignment="1">
      <alignment horizontal="center"/>
    </xf>
    <xf numFmtId="0" fontId="6" fillId="0" borderId="0" xfId="0" applyFont="1"/>
    <xf numFmtId="49" fontId="4" fillId="0" borderId="8" xfId="0" applyNumberFormat="1" applyFont="1" applyBorder="1" applyAlignment="1">
      <alignment vertical="top" wrapText="1"/>
    </xf>
    <xf numFmtId="49" fontId="4" fillId="0" borderId="0" xfId="0" applyNumberFormat="1" applyFont="1" applyAlignment="1">
      <alignment vertical="top" wrapText="1"/>
    </xf>
    <xf numFmtId="0" fontId="9" fillId="0" borderId="0" xfId="0" applyFont="1" applyAlignment="1">
      <alignment vertical="top" wrapText="1"/>
    </xf>
    <xf numFmtId="0" fontId="13" fillId="0" borderId="0" xfId="0" applyFont="1" applyAlignment="1">
      <alignment horizontal="center" vertical="center" wrapText="1"/>
    </xf>
    <xf numFmtId="0" fontId="6" fillId="0" borderId="0" xfId="0" applyFont="1" applyAlignment="1">
      <alignment horizontal="center"/>
    </xf>
    <xf numFmtId="0" fontId="7" fillId="8" borderId="0" xfId="0" applyFont="1" applyFill="1" applyAlignment="1">
      <alignment horizontal="center" wrapText="1"/>
    </xf>
    <xf numFmtId="0" fontId="5" fillId="8" borderId="0" xfId="0" applyFont="1" applyFill="1" applyAlignment="1">
      <alignment wrapText="1"/>
    </xf>
    <xf numFmtId="0" fontId="8" fillId="0" borderId="0" xfId="0" applyFont="1" applyAlignment="1">
      <alignment horizontal="center" wrapText="1"/>
    </xf>
    <xf numFmtId="0" fontId="5" fillId="0" borderId="0" xfId="0" applyFont="1" applyAlignment="1">
      <alignment wrapText="1"/>
    </xf>
    <xf numFmtId="0" fontId="8" fillId="2" borderId="15" xfId="0" applyFont="1" applyFill="1" applyBorder="1" applyAlignment="1">
      <alignment horizontal="center" wrapText="1"/>
    </xf>
    <xf numFmtId="0" fontId="5" fillId="0" borderId="15" xfId="0" applyFont="1" applyBorder="1" applyAlignment="1">
      <alignment wrapText="1"/>
    </xf>
    <xf numFmtId="0" fontId="14" fillId="9" borderId="17" xfId="2">
      <alignment horizontal="center" vertical="center"/>
    </xf>
    <xf numFmtId="0" fontId="0" fillId="0" borderId="17" xfId="0" applyBorder="1"/>
    <xf numFmtId="0" fontId="15" fillId="10" borderId="17" xfId="3">
      <alignment horizontal="center" vertical="center" wrapText="1"/>
    </xf>
    <xf numFmtId="0" fontId="0" fillId="0" borderId="17" xfId="0" applyBorder="1" applyAlignment="1">
      <alignment horizontal="left" vertical="top" wrapText="1"/>
    </xf>
    <xf numFmtId="0" fontId="15" fillId="11" borderId="17" xfId="4">
      <alignment horizontal="center" vertical="center" wrapText="1"/>
    </xf>
    <xf numFmtId="0" fontId="4" fillId="12" borderId="0" xfId="0" applyFont="1" applyFill="1"/>
    <xf numFmtId="0" fontId="15" fillId="12" borderId="17" xfId="5">
      <alignment horizontal="center" vertical="center" wrapText="1"/>
    </xf>
    <xf numFmtId="0" fontId="0" fillId="0" borderId="0" xfId="0" applyProtection="1">
      <protection locked="0"/>
    </xf>
    <xf numFmtId="0" fontId="8" fillId="4" borderId="1" xfId="0" applyFont="1" applyFill="1" applyBorder="1"/>
    <xf numFmtId="0" fontId="0" fillId="0" borderId="2" xfId="0" applyBorder="1"/>
    <xf numFmtId="0" fontId="5" fillId="6" borderId="16" xfId="0" applyFont="1" applyFill="1" applyBorder="1"/>
    <xf numFmtId="0" fontId="0" fillId="0" borderId="3" xfId="0" applyBorder="1"/>
    <xf numFmtId="0" fontId="6" fillId="12" borderId="0" xfId="0" applyFont="1" applyFill="1" applyAlignment="1">
      <alignment horizontal="center"/>
    </xf>
    <xf numFmtId="0" fontId="0" fillId="12" borderId="0" xfId="0" applyFill="1"/>
    <xf numFmtId="0" fontId="5" fillId="5" borderId="16" xfId="0" applyFont="1" applyFill="1" applyBorder="1"/>
    <xf numFmtId="0" fontId="8" fillId="5" borderId="5" xfId="0" applyFont="1" applyFill="1" applyBorder="1" applyAlignment="1">
      <alignment horizontal="left" vertical="center" wrapText="1"/>
    </xf>
    <xf numFmtId="0" fontId="0" fillId="0" borderId="6" xfId="0" applyBorder="1"/>
    <xf numFmtId="0" fontId="0" fillId="0" borderId="8" xfId="0" applyBorder="1"/>
    <xf numFmtId="0" fontId="0" fillId="0" borderId="0" xfId="0"/>
    <xf numFmtId="0" fontId="8" fillId="2" borderId="1" xfId="0" applyFont="1" applyFill="1" applyBorder="1" applyAlignment="1">
      <alignment horizontal="center" vertical="center"/>
    </xf>
    <xf numFmtId="0" fontId="5" fillId="7" borderId="16" xfId="0" applyFont="1" applyFill="1" applyBorder="1" applyAlignment="1" applyProtection="1">
      <alignment vertical="center" wrapText="1"/>
      <protection locked="0"/>
    </xf>
    <xf numFmtId="0" fontId="0" fillId="0" borderId="6" xfId="0" applyBorder="1" applyProtection="1">
      <protection locked="0"/>
    </xf>
    <xf numFmtId="0" fontId="0" fillId="0" borderId="7" xfId="0" applyBorder="1" applyProtection="1">
      <protection locked="0"/>
    </xf>
    <xf numFmtId="0" fontId="0" fillId="0" borderId="9" xfId="0" applyBorder="1" applyProtection="1">
      <protection locked="0"/>
    </xf>
    <xf numFmtId="0" fontId="0" fillId="0" borderId="10" xfId="0" applyBorder="1" applyProtection="1">
      <protection locked="0"/>
    </xf>
    <xf numFmtId="0" fontId="0" fillId="0" borderId="11" xfId="0" applyBorder="1" applyProtection="1">
      <protection locked="0"/>
    </xf>
    <xf numFmtId="0" fontId="8" fillId="2" borderId="16" xfId="0" applyFont="1" applyFill="1" applyBorder="1" applyAlignment="1">
      <alignment horizontal="center" vertical="center"/>
    </xf>
    <xf numFmtId="0" fontId="2" fillId="2" borderId="16" xfId="0" applyFont="1" applyFill="1" applyBorder="1"/>
    <xf numFmtId="0" fontId="7" fillId="3" borderId="16" xfId="0" applyFont="1" applyFill="1" applyBorder="1" applyAlignment="1">
      <alignment horizontal="center"/>
    </xf>
    <xf numFmtId="49" fontId="8" fillId="5" borderId="16" xfId="0" applyNumberFormat="1" applyFont="1" applyFill="1" applyBorder="1" applyAlignment="1">
      <alignment vertical="center" wrapText="1"/>
    </xf>
    <xf numFmtId="0" fontId="0" fillId="0" borderId="7" xfId="0" applyBorder="1"/>
    <xf numFmtId="0" fontId="0" fillId="0" borderId="13" xfId="0" applyBorder="1"/>
    <xf numFmtId="0" fontId="0" fillId="0" borderId="9" xfId="0" applyBorder="1"/>
    <xf numFmtId="0" fontId="0" fillId="0" borderId="10" xfId="0" applyBorder="1"/>
    <xf numFmtId="0" fontId="0" fillId="0" borderId="11" xfId="0" applyBorder="1"/>
    <xf numFmtId="0" fontId="9" fillId="0" borderId="16" xfId="0" applyFont="1" applyBorder="1" applyAlignment="1">
      <alignment vertical="center" wrapText="1"/>
    </xf>
    <xf numFmtId="0" fontId="7" fillId="3" borderId="4" xfId="0" applyFont="1" applyFill="1" applyBorder="1" applyAlignment="1">
      <alignment horizontal="center"/>
    </xf>
    <xf numFmtId="0" fontId="5" fillId="5" borderId="16" xfId="0" applyFont="1" applyFill="1" applyBorder="1" applyAlignment="1">
      <alignment vertical="center" wrapText="1"/>
    </xf>
    <xf numFmtId="0" fontId="9" fillId="7" borderId="16" xfId="0" applyFont="1" applyFill="1" applyBorder="1" applyAlignment="1" applyProtection="1">
      <alignment horizontal="center" vertical="center" wrapText="1"/>
      <protection locked="0"/>
    </xf>
    <xf numFmtId="0" fontId="0" fillId="0" borderId="12" xfId="0" applyBorder="1" applyProtection="1">
      <protection locked="0"/>
    </xf>
    <xf numFmtId="0" fontId="0" fillId="0" borderId="14" xfId="0" applyBorder="1" applyProtection="1">
      <protection locked="0"/>
    </xf>
    <xf numFmtId="0" fontId="12" fillId="0" borderId="14" xfId="1" applyFont="1" applyBorder="1" applyAlignment="1">
      <alignment wrapText="1"/>
    </xf>
    <xf numFmtId="0" fontId="8" fillId="5" borderId="16" xfId="0" applyFont="1" applyFill="1" applyBorder="1" applyAlignment="1">
      <alignment horizontal="left" vertical="center" wrapText="1"/>
    </xf>
  </cellXfs>
  <cellStyles count="6">
    <cellStyle name="component_title_style" xfId="2" xr:uid="{00000000-0005-0000-0000-000002000000}"/>
    <cellStyle name="Hyperlink" xfId="1" builtinId="8"/>
    <cellStyle name="mandatory_style" xfId="4" xr:uid="{00000000-0005-0000-0000-000004000000}"/>
    <cellStyle name="Normal" xfId="0" builtinId="0"/>
    <cellStyle name="optional_style" xfId="3" xr:uid="{00000000-0005-0000-0000-000003000000}"/>
    <cellStyle name="protected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projects@earlham.ac.uk"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workbookViewId="0">
      <selection activeCell="A8" sqref="A8"/>
    </sheetView>
  </sheetViews>
  <sheetFormatPr baseColWidth="10" defaultRowHeight="16"/>
  <cols>
    <col min="1" max="1" width="66.6640625" customWidth="1"/>
    <col min="2" max="2" width="118.5" customWidth="1"/>
  </cols>
  <sheetData>
    <row r="1" spans="1:2" s="2" customFormat="1" ht="21" customHeight="1">
      <c r="A1" s="19" t="s">
        <v>48</v>
      </c>
      <c r="B1" s="20"/>
    </row>
    <row r="2" spans="1:2" ht="17" customHeight="1" thickBot="1">
      <c r="A2" s="21"/>
      <c r="B2" s="22"/>
    </row>
    <row r="3" spans="1:2" ht="29" customHeight="1">
      <c r="A3" s="23" t="s">
        <v>49</v>
      </c>
      <c r="B3" s="24"/>
    </row>
    <row r="5" spans="1:2" ht="22">
      <c r="A5" s="25" t="s">
        <v>50</v>
      </c>
      <c r="B5" s="26"/>
    </row>
    <row r="6" spans="1:2" ht="34">
      <c r="A6" s="27" t="s">
        <v>51</v>
      </c>
      <c r="B6" s="28" t="s">
        <v>52</v>
      </c>
    </row>
    <row r="7" spans="1:2" ht="34">
      <c r="A7" s="29" t="s">
        <v>53</v>
      </c>
      <c r="B7" s="28" t="s">
        <v>54</v>
      </c>
    </row>
    <row r="8" spans="1:2" ht="34">
      <c r="A8" s="29" t="s">
        <v>55</v>
      </c>
      <c r="B8" s="28" t="s">
        <v>56</v>
      </c>
    </row>
    <row r="10" spans="1:2" ht="22">
      <c r="A10" s="25" t="s">
        <v>16</v>
      </c>
      <c r="B10" s="26"/>
    </row>
    <row r="11" spans="1:2" ht="17">
      <c r="A11" s="29" t="s">
        <v>5</v>
      </c>
      <c r="B11" s="28"/>
    </row>
    <row r="12" spans="1:2" ht="34">
      <c r="A12" s="29" t="s">
        <v>25</v>
      </c>
      <c r="B12" s="28" t="s">
        <v>57</v>
      </c>
    </row>
    <row r="13" spans="1:2" ht="17">
      <c r="A13" s="29" t="s">
        <v>26</v>
      </c>
      <c r="B13" s="28" t="s">
        <v>58</v>
      </c>
    </row>
    <row r="14" spans="1:2" ht="17">
      <c r="A14" s="29" t="s">
        <v>27</v>
      </c>
      <c r="B14" s="28" t="s">
        <v>59</v>
      </c>
    </row>
    <row r="15" spans="1:2" ht="17">
      <c r="A15" s="29" t="s">
        <v>28</v>
      </c>
      <c r="B15" s="28" t="s">
        <v>60</v>
      </c>
    </row>
    <row r="16" spans="1:2" ht="34">
      <c r="A16" s="29" t="s">
        <v>29</v>
      </c>
      <c r="B16" s="28" t="s">
        <v>61</v>
      </c>
    </row>
    <row r="17" spans="1:2" ht="17">
      <c r="A17" s="29" t="s">
        <v>30</v>
      </c>
      <c r="B17" s="28" t="s">
        <v>62</v>
      </c>
    </row>
    <row r="18" spans="1:2" ht="17">
      <c r="A18" s="29" t="s">
        <v>31</v>
      </c>
      <c r="B18" s="28"/>
    </row>
    <row r="19" spans="1:2" ht="17">
      <c r="A19" s="29" t="s">
        <v>32</v>
      </c>
      <c r="B19" s="28" t="s">
        <v>63</v>
      </c>
    </row>
    <row r="20" spans="1:2" ht="34">
      <c r="A20" s="29" t="s">
        <v>33</v>
      </c>
      <c r="B20" s="28" t="s">
        <v>64</v>
      </c>
    </row>
    <row r="21" spans="1:2" ht="51">
      <c r="A21" s="29" t="s">
        <v>34</v>
      </c>
      <c r="B21" s="28" t="s">
        <v>65</v>
      </c>
    </row>
    <row r="22" spans="1:2" ht="68">
      <c r="A22" s="29" t="s">
        <v>35</v>
      </c>
      <c r="B22" s="28" t="s">
        <v>66</v>
      </c>
    </row>
    <row r="23" spans="1:2" ht="34">
      <c r="A23" s="27" t="s">
        <v>36</v>
      </c>
      <c r="B23" s="28" t="s">
        <v>67</v>
      </c>
    </row>
    <row r="24" spans="1:2" ht="34">
      <c r="A24" s="27" t="s">
        <v>37</v>
      </c>
      <c r="B24" s="28" t="s">
        <v>68</v>
      </c>
    </row>
    <row r="25" spans="1:2" ht="51">
      <c r="A25" s="27" t="s">
        <v>38</v>
      </c>
      <c r="B25" s="28" t="s">
        <v>69</v>
      </c>
    </row>
    <row r="26" spans="1:2" ht="51">
      <c r="A26" s="27" t="s">
        <v>39</v>
      </c>
      <c r="B26" s="28" t="s">
        <v>70</v>
      </c>
    </row>
    <row r="27" spans="1:2" ht="51">
      <c r="A27" s="27" t="s">
        <v>40</v>
      </c>
      <c r="B27" s="28" t="s">
        <v>71</v>
      </c>
    </row>
    <row r="29" spans="1:2" ht="22">
      <c r="A29" s="25" t="s">
        <v>72</v>
      </c>
      <c r="B29" s="26"/>
    </row>
    <row r="30" spans="1:2" ht="17">
      <c r="A30" s="29" t="s">
        <v>5</v>
      </c>
      <c r="B30" s="28"/>
    </row>
    <row r="31" spans="1:2" ht="51">
      <c r="A31" s="29" t="s">
        <v>18</v>
      </c>
      <c r="B31" s="28" t="s">
        <v>73</v>
      </c>
    </row>
    <row r="32" spans="1:2" ht="51">
      <c r="A32" s="29" t="s">
        <v>74</v>
      </c>
      <c r="B32" s="28" t="s">
        <v>75</v>
      </c>
    </row>
    <row r="33" spans="1:2" ht="17">
      <c r="A33" s="27" t="s">
        <v>76</v>
      </c>
      <c r="B33" s="28" t="s">
        <v>77</v>
      </c>
    </row>
    <row r="34" spans="1:2" ht="119">
      <c r="A34" s="29" t="s">
        <v>78</v>
      </c>
      <c r="B34" s="28" t="s">
        <v>79</v>
      </c>
    </row>
    <row r="35" spans="1:2" ht="17">
      <c r="A35" s="27" t="s">
        <v>80</v>
      </c>
      <c r="B35" s="28" t="s">
        <v>77</v>
      </c>
    </row>
    <row r="36" spans="1:2" ht="119">
      <c r="A36" s="29" t="s">
        <v>81</v>
      </c>
      <c r="B36" s="28" t="s">
        <v>82</v>
      </c>
    </row>
  </sheetData>
  <sheetProtection sheet="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9"/>
  <sheetViews>
    <sheetView tabSelected="1" topLeftCell="C8" workbookViewId="0">
      <selection activeCell="F29" sqref="F29"/>
    </sheetView>
  </sheetViews>
  <sheetFormatPr baseColWidth="10" defaultRowHeight="16"/>
  <cols>
    <col min="1" max="7" width="17.83203125" customWidth="1"/>
    <col min="8" max="8" width="17.83203125" hidden="1" customWidth="1"/>
    <col min="9" max="28" width="17.83203125" customWidth="1"/>
  </cols>
  <sheetData>
    <row r="1" spans="1:18" ht="26" customHeight="1" thickBot="1">
      <c r="A1" s="52" t="s">
        <v>0</v>
      </c>
      <c r="B1" s="34"/>
      <c r="C1" s="34"/>
      <c r="D1" s="34"/>
      <c r="E1" s="36"/>
      <c r="F1" s="1"/>
      <c r="G1" s="1"/>
      <c r="H1" s="1"/>
      <c r="I1" s="2"/>
      <c r="J1" s="2"/>
      <c r="K1" s="2"/>
      <c r="L1" s="2"/>
      <c r="M1" s="1"/>
      <c r="N1" s="1"/>
      <c r="O1" s="1"/>
      <c r="P1" s="3"/>
      <c r="Q1" s="1"/>
      <c r="R1" s="1"/>
    </row>
    <row r="2" spans="1:18" ht="26" customHeight="1" thickBot="1">
      <c r="A2" s="4"/>
      <c r="B2" s="5"/>
      <c r="C2" s="5"/>
      <c r="D2" s="5"/>
      <c r="E2" s="1"/>
      <c r="F2" s="1"/>
      <c r="G2" s="1"/>
      <c r="H2" s="1"/>
      <c r="I2" s="2"/>
      <c r="J2" s="2"/>
      <c r="K2" s="2"/>
      <c r="L2" s="2"/>
      <c r="M2" s="1"/>
      <c r="N2" s="1"/>
      <c r="O2" s="1"/>
      <c r="P2" s="3"/>
      <c r="Q2" s="1"/>
      <c r="R2" s="1"/>
    </row>
    <row r="3" spans="1:18" ht="21" customHeight="1" thickBot="1">
      <c r="A3" s="53" t="s">
        <v>1</v>
      </c>
      <c r="B3" s="34"/>
      <c r="C3" s="36"/>
      <c r="D3" s="1"/>
      <c r="E3" s="1"/>
      <c r="F3" s="1"/>
      <c r="G3" s="1"/>
      <c r="H3" s="1"/>
      <c r="I3" s="1"/>
      <c r="J3" s="1"/>
      <c r="K3" s="1"/>
      <c r="L3" s="1"/>
      <c r="M3" s="1"/>
      <c r="N3" s="2"/>
      <c r="O3" s="1"/>
      <c r="P3" s="3"/>
      <c r="Q3" s="1"/>
      <c r="R3" s="1"/>
    </row>
    <row r="4" spans="1:18" ht="17" customHeight="1" thickBot="1">
      <c r="A4" s="33" t="s">
        <v>2</v>
      </c>
      <c r="B4" s="34"/>
      <c r="C4" s="51" t="s">
        <v>3</v>
      </c>
      <c r="D4" s="36"/>
      <c r="E4" s="1"/>
      <c r="F4" s="1"/>
      <c r="G4" s="1"/>
      <c r="H4" s="1"/>
      <c r="I4" s="1"/>
      <c r="J4" s="1"/>
      <c r="K4" s="1"/>
      <c r="L4" s="1"/>
      <c r="M4" s="1"/>
      <c r="N4" s="1"/>
      <c r="O4" s="39" t="s">
        <v>4</v>
      </c>
      <c r="P4" s="34"/>
      <c r="Q4" s="36"/>
      <c r="R4" s="1"/>
    </row>
    <row r="5" spans="1:18" ht="17" customHeight="1" thickBot="1">
      <c r="A5" s="33" t="s">
        <v>5</v>
      </c>
      <c r="B5" s="34"/>
      <c r="C5" s="44" t="s">
        <v>6</v>
      </c>
      <c r="D5" s="34"/>
      <c r="E5" s="6" t="s">
        <v>7</v>
      </c>
      <c r="F5" s="6" t="s">
        <v>8</v>
      </c>
      <c r="G5" s="1"/>
      <c r="H5" s="1"/>
      <c r="I5" s="1"/>
      <c r="J5" s="1"/>
      <c r="K5" s="1"/>
      <c r="L5" s="1"/>
      <c r="M5" s="1"/>
      <c r="N5" s="1"/>
      <c r="O5" s="35" t="s">
        <v>9</v>
      </c>
      <c r="P5" s="34"/>
      <c r="Q5" s="36"/>
      <c r="R5" s="1"/>
    </row>
    <row r="6" spans="1:18">
      <c r="A6" s="40" t="s">
        <v>10</v>
      </c>
      <c r="B6" s="41"/>
      <c r="C6" s="41"/>
      <c r="D6" s="41"/>
      <c r="E6" s="45" t="s">
        <v>89</v>
      </c>
      <c r="F6" s="46"/>
      <c r="G6" s="46"/>
      <c r="H6" s="46"/>
      <c r="I6" s="46"/>
      <c r="J6" s="46"/>
      <c r="K6" s="46"/>
      <c r="L6" s="47"/>
      <c r="M6" s="1"/>
      <c r="N6" s="1"/>
      <c r="O6" s="2"/>
      <c r="P6" s="2"/>
      <c r="Q6" s="2"/>
      <c r="R6" s="1"/>
    </row>
    <row r="7" spans="1:18" ht="17" customHeight="1" thickBot="1">
      <c r="A7" s="42"/>
      <c r="B7" s="43"/>
      <c r="C7" s="43"/>
      <c r="D7" s="43"/>
      <c r="E7" s="48"/>
      <c r="F7" s="49"/>
      <c r="G7" s="49"/>
      <c r="H7" s="49"/>
      <c r="I7" s="49"/>
      <c r="J7" s="49"/>
      <c r="K7" s="49"/>
      <c r="L7" s="50"/>
      <c r="M7" s="1"/>
      <c r="N7" s="1"/>
      <c r="O7" s="1"/>
      <c r="P7" s="1"/>
      <c r="Q7" s="1"/>
      <c r="R7" s="7"/>
    </row>
    <row r="8" spans="1:18" ht="17" customHeight="1" thickBot="1">
      <c r="A8" s="67" t="s">
        <v>11</v>
      </c>
      <c r="B8" s="34"/>
      <c r="C8" s="34"/>
      <c r="D8" s="34"/>
      <c r="E8" s="34"/>
      <c r="F8" s="34"/>
      <c r="G8" s="34"/>
      <c r="H8" s="34"/>
      <c r="I8" s="34"/>
      <c r="J8" s="34"/>
      <c r="K8" s="36"/>
      <c r="L8" s="8" t="s">
        <v>90</v>
      </c>
      <c r="M8" s="1"/>
      <c r="N8" s="1"/>
      <c r="O8" s="1"/>
      <c r="P8" s="1"/>
      <c r="Q8" s="1"/>
      <c r="R8" s="1"/>
    </row>
    <row r="9" spans="1:18">
      <c r="A9" s="62" t="s">
        <v>12</v>
      </c>
      <c r="B9" s="41"/>
      <c r="C9" s="41"/>
      <c r="D9" s="41"/>
      <c r="E9" s="41"/>
      <c r="F9" s="41"/>
      <c r="G9" s="41"/>
      <c r="H9" s="41"/>
      <c r="I9" s="41"/>
      <c r="J9" s="41"/>
      <c r="K9" s="55"/>
      <c r="L9" s="63" t="s">
        <v>91</v>
      </c>
      <c r="M9" s="1"/>
      <c r="N9" s="1"/>
      <c r="O9" s="1"/>
      <c r="P9" s="1"/>
      <c r="Q9" s="1"/>
      <c r="R9" s="1"/>
    </row>
    <row r="10" spans="1:18" ht="17" customHeight="1" thickBot="1">
      <c r="A10" s="42"/>
      <c r="B10" s="43"/>
      <c r="C10" s="43"/>
      <c r="D10" s="43"/>
      <c r="E10" s="43"/>
      <c r="F10" s="43"/>
      <c r="G10" s="43"/>
      <c r="H10" s="43"/>
      <c r="I10" s="43"/>
      <c r="J10" s="43"/>
      <c r="K10" s="56"/>
      <c r="L10" s="64"/>
      <c r="M10" s="9"/>
      <c r="N10" s="1"/>
      <c r="O10" s="1"/>
      <c r="P10" s="1"/>
      <c r="Q10" s="1"/>
      <c r="R10" s="1"/>
    </row>
    <row r="11" spans="1:18" ht="17" customHeight="1" thickBot="1">
      <c r="A11" s="57"/>
      <c r="B11" s="58"/>
      <c r="C11" s="58"/>
      <c r="D11" s="58"/>
      <c r="E11" s="58"/>
      <c r="F11" s="58"/>
      <c r="G11" s="58"/>
      <c r="H11" s="58"/>
      <c r="I11" s="58"/>
      <c r="J11" s="58"/>
      <c r="K11" s="59"/>
      <c r="L11" s="65"/>
      <c r="M11" s="1"/>
      <c r="N11" s="1"/>
      <c r="O11" s="60" t="s">
        <v>13</v>
      </c>
      <c r="P11" s="41"/>
      <c r="Q11" s="41"/>
      <c r="R11" s="55"/>
    </row>
    <row r="12" spans="1:18">
      <c r="A12" s="54" t="s">
        <v>14</v>
      </c>
      <c r="B12" s="41"/>
      <c r="C12" s="41"/>
      <c r="D12" s="41"/>
      <c r="E12" s="41"/>
      <c r="F12" s="41"/>
      <c r="G12" s="41"/>
      <c r="H12" s="41"/>
      <c r="I12" s="41"/>
      <c r="J12" s="41"/>
      <c r="K12" s="55"/>
      <c r="L12" s="10"/>
      <c r="M12" s="1"/>
      <c r="N12" s="1"/>
      <c r="O12" s="42"/>
      <c r="P12" s="43"/>
      <c r="Q12" s="43"/>
      <c r="R12" s="56"/>
    </row>
    <row r="13" spans="1:18" ht="17" customHeight="1" thickBot="1">
      <c r="A13" s="42"/>
      <c r="B13" s="43"/>
      <c r="C13" s="43"/>
      <c r="D13" s="43"/>
      <c r="E13" s="43"/>
      <c r="F13" s="43"/>
      <c r="G13" s="43"/>
      <c r="H13" s="43"/>
      <c r="I13" s="43"/>
      <c r="J13" s="43"/>
      <c r="K13" s="56"/>
      <c r="L13" s="11"/>
      <c r="M13" s="1"/>
      <c r="N13" s="1"/>
      <c r="O13" s="57"/>
      <c r="P13" s="58"/>
      <c r="Q13" s="58"/>
      <c r="R13" s="59"/>
    </row>
    <row r="14" spans="1:18" ht="17" customHeight="1" thickBot="1">
      <c r="A14" s="42"/>
      <c r="B14" s="43"/>
      <c r="C14" s="43"/>
      <c r="D14" s="43"/>
      <c r="E14" s="43"/>
      <c r="F14" s="43"/>
      <c r="G14" s="43"/>
      <c r="H14" s="43"/>
      <c r="I14" s="43"/>
      <c r="J14" s="43"/>
      <c r="K14" s="56"/>
      <c r="L14" s="11"/>
      <c r="M14" s="12"/>
      <c r="N14" s="12"/>
      <c r="O14" s="66" t="s">
        <v>15</v>
      </c>
      <c r="P14" s="58"/>
      <c r="Q14" s="58"/>
      <c r="R14" s="59"/>
    </row>
    <row r="15" spans="1:18">
      <c r="A15" s="42"/>
      <c r="B15" s="43"/>
      <c r="C15" s="43"/>
      <c r="D15" s="43"/>
      <c r="E15" s="43"/>
      <c r="F15" s="43"/>
      <c r="G15" s="43"/>
      <c r="H15" s="43"/>
      <c r="I15" s="43"/>
      <c r="J15" s="43"/>
      <c r="K15" s="56"/>
      <c r="L15" s="11"/>
      <c r="M15" s="12"/>
      <c r="N15" s="12"/>
      <c r="O15" s="1"/>
      <c r="P15" s="1"/>
      <c r="Q15" s="13"/>
      <c r="R15" s="1"/>
    </row>
    <row r="16" spans="1:18">
      <c r="A16" s="42"/>
      <c r="B16" s="43"/>
      <c r="C16" s="43"/>
      <c r="D16" s="43"/>
      <c r="E16" s="43"/>
      <c r="F16" s="43"/>
      <c r="G16" s="43"/>
      <c r="H16" s="43"/>
      <c r="I16" s="43"/>
      <c r="J16" s="43"/>
      <c r="K16" s="56"/>
      <c r="L16" s="11"/>
      <c r="M16" s="12"/>
      <c r="N16" s="12"/>
      <c r="O16" s="1"/>
      <c r="P16" s="1"/>
      <c r="Q16" s="13"/>
      <c r="R16" s="1"/>
    </row>
    <row r="17" spans="1:24">
      <c r="A17" s="42"/>
      <c r="B17" s="43"/>
      <c r="C17" s="43"/>
      <c r="D17" s="43"/>
      <c r="E17" s="43"/>
      <c r="F17" s="43"/>
      <c r="G17" s="43"/>
      <c r="H17" s="43"/>
      <c r="I17" s="43"/>
      <c r="J17" s="43"/>
      <c r="K17" s="56"/>
      <c r="L17" s="11"/>
      <c r="M17" s="12"/>
      <c r="N17" s="12"/>
      <c r="O17" s="1"/>
      <c r="P17" s="1"/>
      <c r="Q17" s="13"/>
      <c r="R17" s="1"/>
    </row>
    <row r="18" spans="1:24">
      <c r="A18" s="42"/>
      <c r="B18" s="43"/>
      <c r="C18" s="43"/>
      <c r="D18" s="43"/>
      <c r="E18" s="43"/>
      <c r="F18" s="43"/>
      <c r="G18" s="43"/>
      <c r="H18" s="43"/>
      <c r="I18" s="43"/>
      <c r="J18" s="43"/>
      <c r="K18" s="56"/>
      <c r="L18" s="11"/>
      <c r="M18" s="12"/>
      <c r="N18" s="12"/>
      <c r="O18" s="1"/>
      <c r="P18" s="1"/>
      <c r="Q18" s="13"/>
      <c r="R18" s="1"/>
    </row>
    <row r="19" spans="1:24">
      <c r="A19" s="42"/>
      <c r="B19" s="43"/>
      <c r="C19" s="43"/>
      <c r="D19" s="43"/>
      <c r="E19" s="43"/>
      <c r="F19" s="43"/>
      <c r="G19" s="43"/>
      <c r="H19" s="43"/>
      <c r="I19" s="43"/>
      <c r="J19" s="43"/>
      <c r="K19" s="56"/>
      <c r="L19" s="11"/>
      <c r="M19" s="12"/>
      <c r="N19" s="12"/>
      <c r="O19" s="1"/>
      <c r="P19" s="1"/>
      <c r="Q19" s="13"/>
      <c r="R19" s="1"/>
    </row>
    <row r="20" spans="1:24">
      <c r="A20" s="42"/>
      <c r="B20" s="43"/>
      <c r="C20" s="43"/>
      <c r="D20" s="43"/>
      <c r="E20" s="43"/>
      <c r="F20" s="43"/>
      <c r="G20" s="43"/>
      <c r="H20" s="43"/>
      <c r="I20" s="43"/>
      <c r="J20" s="43"/>
      <c r="K20" s="56"/>
      <c r="L20" s="11"/>
      <c r="M20" s="12"/>
      <c r="N20" s="12"/>
      <c r="O20" s="1"/>
      <c r="P20" s="1"/>
      <c r="Q20" s="13"/>
      <c r="R20" s="1"/>
    </row>
    <row r="21" spans="1:24">
      <c r="A21" s="42"/>
      <c r="B21" s="43"/>
      <c r="C21" s="43"/>
      <c r="D21" s="43"/>
      <c r="E21" s="43"/>
      <c r="F21" s="43"/>
      <c r="G21" s="43"/>
      <c r="H21" s="43"/>
      <c r="I21" s="43"/>
      <c r="J21" s="43"/>
      <c r="K21" s="56"/>
      <c r="L21" s="11"/>
      <c r="M21" s="12"/>
      <c r="N21" s="12"/>
      <c r="O21" s="1"/>
      <c r="P21" s="1"/>
      <c r="Q21" s="13"/>
      <c r="R21" s="1"/>
    </row>
    <row r="22" spans="1:24">
      <c r="A22" s="42"/>
      <c r="B22" s="43"/>
      <c r="C22" s="43"/>
      <c r="D22" s="43"/>
      <c r="E22" s="43"/>
      <c r="F22" s="43"/>
      <c r="G22" s="43"/>
      <c r="H22" s="43"/>
      <c r="I22" s="43"/>
      <c r="J22" s="43"/>
      <c r="K22" s="56"/>
      <c r="L22" s="11"/>
      <c r="M22" s="12"/>
      <c r="N22" s="12"/>
      <c r="O22" s="1"/>
      <c r="P22" s="1"/>
      <c r="Q22" s="13"/>
      <c r="R22" s="1"/>
    </row>
    <row r="23" spans="1:24" ht="36" customHeight="1" thickBot="1">
      <c r="A23" s="57"/>
      <c r="B23" s="58"/>
      <c r="C23" s="58"/>
      <c r="D23" s="58"/>
      <c r="E23" s="58"/>
      <c r="F23" s="58"/>
      <c r="G23" s="58"/>
      <c r="H23" s="58"/>
      <c r="I23" s="58"/>
      <c r="J23" s="58"/>
      <c r="K23" s="59"/>
      <c r="L23" s="11"/>
      <c r="M23" s="12"/>
      <c r="N23" s="12"/>
      <c r="O23" s="1"/>
      <c r="P23" s="1"/>
      <c r="Q23" s="13"/>
      <c r="R23" s="1"/>
    </row>
    <row r="24" spans="1:24">
      <c r="A24" s="14"/>
      <c r="B24" s="15"/>
      <c r="C24" s="15"/>
      <c r="D24" s="15"/>
      <c r="E24" s="15"/>
      <c r="F24" s="15"/>
      <c r="G24" s="15"/>
      <c r="H24" s="15"/>
      <c r="I24" s="15"/>
      <c r="J24" s="15"/>
      <c r="K24" s="15"/>
      <c r="L24" s="11"/>
      <c r="M24" s="12"/>
      <c r="N24" s="12"/>
      <c r="O24" s="1"/>
      <c r="P24" s="1"/>
      <c r="Q24" s="13"/>
      <c r="R24" s="1"/>
    </row>
    <row r="25" spans="1:24" ht="19" customHeight="1" thickBot="1">
      <c r="A25" s="16"/>
      <c r="B25" s="16"/>
      <c r="C25" s="16"/>
      <c r="D25" s="16"/>
      <c r="E25" s="17"/>
      <c r="F25" s="1"/>
      <c r="G25" s="1"/>
      <c r="H25" s="1"/>
      <c r="I25" s="1"/>
      <c r="J25" s="18"/>
      <c r="K25" s="12"/>
      <c r="L25" s="12"/>
      <c r="M25" s="12"/>
      <c r="N25" s="12"/>
      <c r="O25" s="1"/>
      <c r="P25" s="1"/>
      <c r="Q25" s="13"/>
      <c r="R25" s="1"/>
    </row>
    <row r="26" spans="1:24" ht="20" customHeight="1">
      <c r="A26" s="61" t="s">
        <v>16</v>
      </c>
      <c r="B26" s="41"/>
      <c r="C26" s="55"/>
      <c r="D26" s="1"/>
      <c r="E26" s="1"/>
      <c r="F26" s="1"/>
      <c r="G26" s="1"/>
      <c r="H26" s="1"/>
      <c r="I26" s="1"/>
      <c r="J26" s="1"/>
      <c r="K26" s="18"/>
      <c r="L26" s="12"/>
      <c r="M26" s="12"/>
      <c r="N26" s="12"/>
      <c r="O26" s="12"/>
      <c r="P26" s="1"/>
      <c r="Q26" s="1"/>
      <c r="R26" s="13"/>
    </row>
    <row r="27" spans="1:24">
      <c r="A27" s="37" t="s">
        <v>17</v>
      </c>
      <c r="B27" s="38"/>
      <c r="C27" s="38"/>
      <c r="D27" s="38"/>
      <c r="E27" s="38"/>
      <c r="F27" s="30"/>
      <c r="G27" s="30"/>
      <c r="H27" s="1"/>
      <c r="I27" s="1"/>
      <c r="J27" s="1"/>
      <c r="K27" s="18"/>
      <c r="L27" s="12"/>
      <c r="M27" s="12"/>
      <c r="N27" s="12"/>
      <c r="O27" s="12"/>
      <c r="P27" s="1"/>
      <c r="Q27" s="1"/>
      <c r="R27" s="13"/>
    </row>
    <row r="28" spans="1:24" ht="51">
      <c r="A28" s="31" t="s">
        <v>18</v>
      </c>
      <c r="B28" s="31" t="s">
        <v>19</v>
      </c>
      <c r="C28" s="31" t="s">
        <v>20</v>
      </c>
      <c r="D28" s="31" t="s">
        <v>21</v>
      </c>
      <c r="E28" s="31" t="s">
        <v>22</v>
      </c>
      <c r="F28" s="31" t="s">
        <v>23</v>
      </c>
      <c r="G28" s="31" t="s">
        <v>24</v>
      </c>
      <c r="H28" s="29" t="s">
        <v>5</v>
      </c>
      <c r="I28" s="29" t="s">
        <v>25</v>
      </c>
      <c r="J28" s="29" t="s">
        <v>26</v>
      </c>
      <c r="K28" s="29" t="s">
        <v>27</v>
      </c>
      <c r="L28" s="29" t="s">
        <v>28</v>
      </c>
      <c r="M28" s="29" t="s">
        <v>29</v>
      </c>
      <c r="N28" s="29" t="s">
        <v>30</v>
      </c>
      <c r="O28" s="29" t="s">
        <v>31</v>
      </c>
      <c r="P28" s="29" t="s">
        <v>32</v>
      </c>
      <c r="Q28" s="29" t="s">
        <v>33</v>
      </c>
      <c r="R28" s="29" t="s">
        <v>34</v>
      </c>
      <c r="S28" s="29" t="s">
        <v>35</v>
      </c>
      <c r="T28" s="27" t="s">
        <v>36</v>
      </c>
      <c r="U28" s="27" t="s">
        <v>37</v>
      </c>
      <c r="V28" s="27" t="s">
        <v>38</v>
      </c>
      <c r="W28" s="27" t="s">
        <v>39</v>
      </c>
      <c r="X28" s="27" t="s">
        <v>40</v>
      </c>
    </row>
    <row r="29" spans="1:24">
      <c r="A29" t="s">
        <v>41</v>
      </c>
      <c r="B29" t="s">
        <v>42</v>
      </c>
      <c r="C29" t="s">
        <v>43</v>
      </c>
      <c r="D29" t="s">
        <v>44</v>
      </c>
      <c r="E29" t="s">
        <v>45</v>
      </c>
      <c r="F29" t="s">
        <v>46</v>
      </c>
      <c r="G29" t="s">
        <v>47</v>
      </c>
      <c r="I29" s="32" t="s">
        <v>101</v>
      </c>
      <c r="J29" s="32">
        <v>5</v>
      </c>
      <c r="K29" s="32">
        <v>12</v>
      </c>
      <c r="L29" s="32" t="s">
        <v>92</v>
      </c>
      <c r="M29" s="32">
        <f t="array" ref="M29">VLOOKUP(I29:I29,sample_metadata!$A:$D,2,FALSE)</f>
        <v>0</v>
      </c>
      <c r="N29" s="32">
        <f t="array" ref="N29">VLOOKUP(I29:I29,sample_metadata!$A:$D,3,FALSE)</f>
        <v>0</v>
      </c>
      <c r="O29" s="32">
        <f t="array" ref="O29">VLOOKUP(I29:I29,sample_metadata!$A:$D,4,FALSE)</f>
        <v>0</v>
      </c>
      <c r="P29" s="32" t="s">
        <v>93</v>
      </c>
      <c r="Q29" s="32">
        <v>15</v>
      </c>
      <c r="R29" s="32" t="s">
        <v>94</v>
      </c>
      <c r="S29" s="32" t="s">
        <v>95</v>
      </c>
      <c r="T29" s="32">
        <v>20</v>
      </c>
      <c r="U29" s="32"/>
      <c r="V29" s="32"/>
      <c r="W29" s="32"/>
      <c r="X29" s="32" t="s">
        <v>96</v>
      </c>
    </row>
  </sheetData>
  <sheetProtection sheet="1"/>
  <mergeCells count="18">
    <mergeCell ref="A1:E1"/>
    <mergeCell ref="A3:C3"/>
    <mergeCell ref="A12:K23"/>
    <mergeCell ref="O11:R13"/>
    <mergeCell ref="A26:C26"/>
    <mergeCell ref="A9:K11"/>
    <mergeCell ref="L9:L11"/>
    <mergeCell ref="O14:R14"/>
    <mergeCell ref="A8:K8"/>
    <mergeCell ref="A4:B4"/>
    <mergeCell ref="O5:Q5"/>
    <mergeCell ref="A27:E27"/>
    <mergeCell ref="O4:Q4"/>
    <mergeCell ref="A6:D7"/>
    <mergeCell ref="C5:D5"/>
    <mergeCell ref="A5:B5"/>
    <mergeCell ref="E6:L7"/>
    <mergeCell ref="C4:D4"/>
  </mergeCells>
  <dataValidations count="6">
    <dataValidation type="list" allowBlank="1" showInputMessage="1" showErrorMessage="1" prompt="Please select" sqref="L8" xr:uid="{00000000-0002-0000-0100-000000000000}">
      <formula1>"YES,NO"</formula1>
    </dataValidation>
    <dataValidation type="list" showInputMessage="1" showErrorMessage="1" sqref="L9:L11" xr:uid="{00000000-0002-0000-0100-000001000000}">
      <formula1>"YES"</formula1>
    </dataValidation>
    <dataValidation type="list" showInputMessage="1" showErrorMessage="1" prompt="Please select" sqref="E25" xr:uid="{00000000-0002-0000-0100-000002000000}">
      <formula1>$AD$10:$AD$12</formula1>
    </dataValidation>
    <dataValidation type="list" allowBlank="1" sqref="L29:L1000" xr:uid="{00000000-0002-0000-0100-000004000000}">
      <formula1>"SPECTROPHOTMETRY,FLUORESCENCE,qPCR"</formula1>
    </dataValidation>
    <dataValidation type="list" allowBlank="1" sqref="P29:P1000" xr:uid="{00000000-0002-0000-0100-000005000000}">
      <formula1>"AE,EB,10 mM TRIS HCl,dH2O,LOW TE,EB-Tween,OTHER (PLEASE ENTER)"</formula1>
    </dataValidation>
    <dataValidation type="list" allowBlank="1" sqref="S29:S1000" xr:uid="{00000000-0002-0000-0100-000006000000}">
      <formula1>"CITES,PLANT HEALTH REGULATIONS,HUMAN TISSUE ACT,NAGOYA PROTOCOL,UK-GDPR,EU-GDPR,OTHER (PLEASE ENTER),NONE"</formula1>
    </dataValidation>
  </dataValidations>
  <hyperlinks>
    <hyperlink ref="O14" r:id="rId1" xr:uid="{00000000-0004-0000-0100-000000000000}"/>
  </hyperlinks>
  <pageMargins left="0.7" right="0.7" top="0.75" bottom="0.75" header="0.3" footer="0.3"/>
  <legacyDrawing r:id="rId2"/>
  <extLst>
    <ext xmlns:x14="http://schemas.microsoft.com/office/spreadsheetml/2009/9/main" uri="{CCE6A557-97BC-4b89-ADB6-D9C93CAAB3DF}">
      <x14:dataValidations xmlns:xm="http://schemas.microsoft.com/office/excel/2006/main" count="1">
        <x14:dataValidation type="list" allowBlank="1" xr:uid="{00000000-0002-0000-0100-000003000000}">
          <x14:formula1>
            <xm:f>sample_metadata!$A$2:$A$1000</xm:f>
          </x14:formula1>
          <xm:sqref>I29:I1000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
  <sheetViews>
    <sheetView topLeftCell="B1" workbookViewId="0">
      <selection activeCell="D4" sqref="D4"/>
    </sheetView>
  </sheetViews>
  <sheetFormatPr baseColWidth="10" defaultColWidth="8.83203125" defaultRowHeight="16"/>
  <cols>
    <col min="1" max="1" width="17.83203125" hidden="1" customWidth="1"/>
    <col min="2" max="9" width="17.83203125" customWidth="1"/>
  </cols>
  <sheetData>
    <row r="1" spans="1:9" ht="51">
      <c r="A1" s="29" t="s">
        <v>5</v>
      </c>
      <c r="B1" s="29" t="s">
        <v>18</v>
      </c>
      <c r="C1" s="29" t="s">
        <v>74</v>
      </c>
      <c r="D1" s="27" t="s">
        <v>76</v>
      </c>
      <c r="E1" s="29" t="s">
        <v>78</v>
      </c>
      <c r="F1" s="27" t="s">
        <v>80</v>
      </c>
      <c r="G1" s="29" t="s">
        <v>81</v>
      </c>
      <c r="H1" s="31" t="s">
        <v>83</v>
      </c>
      <c r="I1" s="31" t="s">
        <v>84</v>
      </c>
    </row>
    <row r="2" spans="1:9">
      <c r="B2" s="32"/>
      <c r="C2" s="32" t="s">
        <v>101</v>
      </c>
      <c r="D2" s="32" t="s">
        <v>97</v>
      </c>
      <c r="E2" s="32" t="s">
        <v>98</v>
      </c>
      <c r="F2" s="32" t="s">
        <v>99</v>
      </c>
      <c r="G2" s="32" t="s">
        <v>100</v>
      </c>
    </row>
  </sheetData>
  <sheetProtection sheet="1"/>
  <dataValidations count="1">
    <dataValidation type="textLength" operator="lessThanOrEqual" allowBlank="1" prompt="Please input the value with length less than or equal to 15.0" sqref="C2:C1000" xr:uid="{00000000-0002-0000-0200-000000000000}">
      <formula1>15</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
  <sheetViews>
    <sheetView workbookViewId="0">
      <selection activeCell="E14" sqref="E14"/>
    </sheetView>
  </sheetViews>
  <sheetFormatPr baseColWidth="10" defaultColWidth="8.83203125" defaultRowHeight="16"/>
  <sheetData>
    <row r="1" spans="1:4">
      <c r="A1" t="s">
        <v>85</v>
      </c>
      <c r="B1" t="s">
        <v>86</v>
      </c>
      <c r="C1" t="s">
        <v>87</v>
      </c>
      <c r="D1" t="s">
        <v>88</v>
      </c>
    </row>
    <row r="2" spans="1:4">
      <c r="A2" t="s">
        <v>101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How to complete the Manifest</vt:lpstr>
      <vt:lpstr>sample</vt:lpstr>
      <vt:lpstr>index</vt:lpstr>
      <vt:lpstr>sample_metadata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Debby Ku (EI)</dc:creator>
  <cp:lastModifiedBy>Aaliyah Providence (EI)</cp:lastModifiedBy>
  <dcterms:created xsi:type="dcterms:W3CDTF">2025-10-20T09:47:52Z</dcterms:created>
  <dcterms:modified xsi:type="dcterms:W3CDTF">2026-10-20T16:50:00Z</dcterms:modified>
</cp:coreProperties>
</file>